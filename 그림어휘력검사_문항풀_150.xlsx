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항목록" sheetId="1" state="visible" r:id="rId3"/>
    <sheet name="구성요약" sheetId="2" state="visible" r:id="rId4"/>
    <sheet name="범례" sheetId="3" state="visible" r:id="rId5"/>
  </sheets>
  <definedNames>
    <definedName function="false" hidden="true" localSheetId="0" name="_xlnm._FilterDatabase" vbProcedure="false">문항목록!$A$1:$O$151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<sst xmlns="http://schemas.openxmlformats.org/spreadsheetml/2006/main" count="1431" uniqueCount="613">
  <si>
    <t xml:space="preserve">순번</t>
  </si>
  <si>
    <r>
      <rPr>
        <b val="true"/>
        <sz val="10"/>
        <color rgb="FFFFFFFF"/>
        <rFont val="Noto Sans CJK SC"/>
        <family val="2"/>
      </rPr>
      <t xml:space="preserve">문항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</si>
  <si>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t xml:space="preserve">단계</t>
  </si>
  <si>
    <t xml:space="preserve">난이도구간</t>
  </si>
  <si>
    <t xml:space="preserve">예상연령</t>
  </si>
  <si>
    <t xml:space="preserve">품사</t>
  </si>
  <si>
    <t xml:space="preserve">목표어휘</t>
  </si>
  <si>
    <r>
      <rPr>
        <b val="true"/>
        <sz val="10"/>
        <color rgb="FFFFFFFF"/>
        <rFont val="Noto Sans CJK SC"/>
        <family val="2"/>
      </rPr>
      <t xml:space="preserve">오답</t>
    </r>
    <r>
      <rPr>
        <b val="true"/>
        <sz val="10"/>
        <color rgb="FFFFFFFF"/>
        <rFont val="Malgun Gothic"/>
        <family val="0"/>
        <charset val="1"/>
      </rPr>
      <t xml:space="preserve">[</t>
    </r>
    <r>
      <rPr>
        <b val="true"/>
        <sz val="10"/>
        <color rgb="FFFFFFFF"/>
        <rFont val="Noto Sans CJK SC"/>
        <family val="2"/>
      </rPr>
      <t xml:space="preserve">의미</t>
    </r>
    <r>
      <rPr>
        <b val="true"/>
        <sz val="10"/>
        <color rgb="FFFFFFFF"/>
        <rFont val="Malgun Gothic"/>
        <family val="0"/>
        <charset val="1"/>
      </rPr>
      <t xml:space="preserve">]</t>
    </r>
  </si>
  <si>
    <r>
      <rPr>
        <b val="true"/>
        <sz val="10"/>
        <color rgb="FFFFFFFF"/>
        <rFont val="Noto Sans CJK SC"/>
        <family val="2"/>
      </rPr>
      <t xml:space="preserve">오답</t>
    </r>
    <r>
      <rPr>
        <b val="true"/>
        <sz val="10"/>
        <color rgb="FFFFFFFF"/>
        <rFont val="Malgun Gothic"/>
        <family val="0"/>
        <charset val="1"/>
      </rPr>
      <t xml:space="preserve">[</t>
    </r>
    <r>
      <rPr>
        <b val="true"/>
        <sz val="10"/>
        <color rgb="FFFFFFFF"/>
        <rFont val="Noto Sans CJK SC"/>
        <family val="2"/>
      </rPr>
      <t xml:space="preserve">시각</t>
    </r>
    <r>
      <rPr>
        <b val="true"/>
        <sz val="10"/>
        <color rgb="FFFFFFFF"/>
        <rFont val="Malgun Gothic"/>
        <family val="0"/>
        <charset val="1"/>
      </rPr>
      <t xml:space="preserve">]</t>
    </r>
  </si>
  <si>
    <r>
      <rPr>
        <b val="true"/>
        <sz val="10"/>
        <color rgb="FFFFFFFF"/>
        <rFont val="Noto Sans CJK SC"/>
        <family val="2"/>
      </rPr>
      <t xml:space="preserve">오답</t>
    </r>
    <r>
      <rPr>
        <b val="true"/>
        <sz val="10"/>
        <color rgb="FFFFFFFF"/>
        <rFont val="Malgun Gothic"/>
        <family val="0"/>
        <charset val="1"/>
      </rPr>
      <t xml:space="preserve">[</t>
    </r>
    <r>
      <rPr>
        <b val="true"/>
        <sz val="10"/>
        <color rgb="FFFFFFFF"/>
        <rFont val="Noto Sans CJK SC"/>
        <family val="2"/>
      </rPr>
      <t xml:space="preserve">무관</t>
    </r>
    <r>
      <rPr>
        <b val="true"/>
        <sz val="10"/>
        <color rgb="FFFFFFFF"/>
        <rFont val="Malgun Gothic"/>
        <family val="0"/>
        <charset val="1"/>
      </rPr>
      <t xml:space="preserve">]</t>
    </r>
  </si>
  <si>
    <t xml:space="preserve">정답위치</t>
  </si>
  <si>
    <r>
      <rPr>
        <b val="true"/>
        <sz val="10"/>
        <color rgb="FFFFFFFF"/>
        <rFont val="Malgun Gothic"/>
        <family val="0"/>
        <charset val="1"/>
      </rPr>
      <t xml:space="preserve">IRT</t>
    </r>
    <r>
      <rPr>
        <b val="true"/>
        <sz val="10"/>
        <color rgb="FFFFFFFF"/>
        <rFont val="Noto Sans CJK SC"/>
        <family val="2"/>
      </rPr>
      <t xml:space="preserve">난이도</t>
    </r>
  </si>
  <si>
    <t xml:space="preserve">명명일치도</t>
  </si>
  <si>
    <t xml:space="preserve">검증상태</t>
  </si>
  <si>
    <t xml:space="preserve">비고</t>
  </si>
  <si>
    <t xml:space="preserve">N001</t>
  </si>
  <si>
    <t xml:space="preserve">A</t>
  </si>
  <si>
    <t xml:space="preserve">2;6-3;11</t>
  </si>
  <si>
    <t xml:space="preserve">명사</t>
  </si>
  <si>
    <t xml:space="preserve">공</t>
  </si>
  <si>
    <t xml:space="preserve">풍선</t>
  </si>
  <si>
    <t xml:space="preserve">사과</t>
  </si>
  <si>
    <t xml:space="preserve">양말</t>
  </si>
  <si>
    <t xml:space="preserve">미검증</t>
  </si>
  <si>
    <t xml:space="preserve">N002</t>
  </si>
  <si>
    <t xml:space="preserve">신발</t>
  </si>
  <si>
    <t xml:space="preserve">모자</t>
  </si>
  <si>
    <t xml:space="preserve">다리미</t>
  </si>
  <si>
    <t xml:space="preserve">나무</t>
  </si>
  <si>
    <t xml:space="preserve">N003</t>
  </si>
  <si>
    <t xml:space="preserve">우산</t>
  </si>
  <si>
    <t xml:space="preserve">버섯</t>
  </si>
  <si>
    <t xml:space="preserve">포크</t>
  </si>
  <si>
    <t xml:space="preserve">N004</t>
  </si>
  <si>
    <t xml:space="preserve">바나나</t>
  </si>
  <si>
    <t xml:space="preserve">토마토</t>
  </si>
  <si>
    <t xml:space="preserve">N005</t>
  </si>
  <si>
    <t xml:space="preserve">딸기</t>
  </si>
  <si>
    <t xml:space="preserve">초승달</t>
  </si>
  <si>
    <t xml:space="preserve">의자</t>
  </si>
  <si>
    <t xml:space="preserve">N006</t>
  </si>
  <si>
    <t xml:space="preserve">컵</t>
  </si>
  <si>
    <t xml:space="preserve">그릇</t>
  </si>
  <si>
    <t xml:space="preserve">화분</t>
  </si>
  <si>
    <t xml:space="preserve">강아지</t>
  </si>
  <si>
    <t xml:space="preserve">N007</t>
  </si>
  <si>
    <t xml:space="preserve">책상</t>
  </si>
  <si>
    <t xml:space="preserve">사다리</t>
  </si>
  <si>
    <t xml:space="preserve">구름</t>
  </si>
  <si>
    <t xml:space="preserve">N008</t>
  </si>
  <si>
    <t xml:space="preserve">고양이</t>
  </si>
  <si>
    <t xml:space="preserve">양</t>
  </si>
  <si>
    <t xml:space="preserve">주전자</t>
  </si>
  <si>
    <t xml:space="preserve">N009</t>
  </si>
  <si>
    <t xml:space="preserve">자동차</t>
  </si>
  <si>
    <t xml:space="preserve">자전거</t>
  </si>
  <si>
    <t xml:space="preserve">상자</t>
  </si>
  <si>
    <t xml:space="preserve">꽃</t>
  </si>
  <si>
    <t xml:space="preserve">N010</t>
  </si>
  <si>
    <t xml:space="preserve">코</t>
  </si>
  <si>
    <t xml:space="preserve">입</t>
  </si>
  <si>
    <t xml:space="preserve">단추</t>
  </si>
  <si>
    <t xml:space="preserve">숟가락</t>
  </si>
  <si>
    <t xml:space="preserve">N011</t>
  </si>
  <si>
    <t xml:space="preserve">장갑</t>
  </si>
  <si>
    <t xml:space="preserve">주머니</t>
  </si>
  <si>
    <t xml:space="preserve">연필</t>
  </si>
  <si>
    <t xml:space="preserve">N012</t>
  </si>
  <si>
    <t xml:space="preserve">가방</t>
  </si>
  <si>
    <t xml:space="preserve">N013</t>
  </si>
  <si>
    <t xml:space="preserve">젓가락</t>
  </si>
  <si>
    <t xml:space="preserve">삽</t>
  </si>
  <si>
    <t xml:space="preserve">N014</t>
  </si>
  <si>
    <t xml:space="preserve">책</t>
  </si>
  <si>
    <t xml:space="preserve">N015</t>
  </si>
  <si>
    <t xml:space="preserve">물고기</t>
  </si>
  <si>
    <t xml:space="preserve">새</t>
  </si>
  <si>
    <t xml:space="preserve">나뭇잎</t>
  </si>
  <si>
    <t xml:space="preserve">시계</t>
  </si>
  <si>
    <t xml:space="preserve">V001</t>
  </si>
  <si>
    <t xml:space="preserve">동사</t>
  </si>
  <si>
    <t xml:space="preserve">자다</t>
  </si>
  <si>
    <t xml:space="preserve">눕다</t>
  </si>
  <si>
    <t xml:space="preserve">앉다</t>
  </si>
  <si>
    <t xml:space="preserve">먹다</t>
  </si>
  <si>
    <t xml:space="preserve">V002</t>
  </si>
  <si>
    <t xml:space="preserve">마시다</t>
  </si>
  <si>
    <t xml:space="preserve">물다</t>
  </si>
  <si>
    <t xml:space="preserve">씻다</t>
  </si>
  <si>
    <t xml:space="preserve">V003</t>
  </si>
  <si>
    <t xml:space="preserve">울다</t>
  </si>
  <si>
    <t xml:space="preserve">웃다</t>
  </si>
  <si>
    <t xml:space="preserve">하품하다</t>
  </si>
  <si>
    <t xml:space="preserve">걷다</t>
  </si>
  <si>
    <t xml:space="preserve">V004</t>
  </si>
  <si>
    <t xml:space="preserve">소리치다</t>
  </si>
  <si>
    <t xml:space="preserve">V005</t>
  </si>
  <si>
    <t xml:space="preserve">서다</t>
  </si>
  <si>
    <t xml:space="preserve">쪼그리다</t>
  </si>
  <si>
    <t xml:space="preserve">V006</t>
  </si>
  <si>
    <t xml:space="preserve">닦다</t>
  </si>
  <si>
    <t xml:space="preserve">물을 붓다</t>
  </si>
  <si>
    <t xml:space="preserve">V007</t>
  </si>
  <si>
    <t xml:space="preserve">불다</t>
  </si>
  <si>
    <t xml:space="preserve">V008</t>
  </si>
  <si>
    <t xml:space="preserve">뛰다</t>
  </si>
  <si>
    <t xml:space="preserve">점프하다</t>
  </si>
  <si>
    <t xml:space="preserve">V009</t>
  </si>
  <si>
    <t xml:space="preserve">던지다</t>
  </si>
  <si>
    <t xml:space="preserve">잡다</t>
  </si>
  <si>
    <t xml:space="preserve">차다</t>
  </si>
  <si>
    <t xml:space="preserve">줍다</t>
  </si>
  <si>
    <t xml:space="preserve">V010</t>
  </si>
  <si>
    <t xml:space="preserve">입다</t>
  </si>
  <si>
    <t xml:space="preserve">벗다</t>
  </si>
  <si>
    <t xml:space="preserve">개다</t>
  </si>
  <si>
    <t xml:space="preserve">A001</t>
  </si>
  <si>
    <t xml:space="preserve">형용사</t>
  </si>
  <si>
    <t xml:space="preserve">크다</t>
  </si>
  <si>
    <t xml:space="preserve">작다</t>
  </si>
  <si>
    <t xml:space="preserve">길다</t>
  </si>
  <si>
    <t xml:space="preserve">빨갛다</t>
  </si>
  <si>
    <t xml:space="preserve">A002</t>
  </si>
  <si>
    <t xml:space="preserve">뜨겁다</t>
  </si>
  <si>
    <t xml:space="preserve">차갑다</t>
  </si>
  <si>
    <t xml:space="preserve">A003</t>
  </si>
  <si>
    <t xml:space="preserve">더럽다</t>
  </si>
  <si>
    <t xml:space="preserve">깨끗하다</t>
  </si>
  <si>
    <t xml:space="preserve">까맣다</t>
  </si>
  <si>
    <t xml:space="preserve">N016</t>
  </si>
  <si>
    <t xml:space="preserve">B</t>
  </si>
  <si>
    <t xml:space="preserve">4;0-5;11</t>
  </si>
  <si>
    <t xml:space="preserve">포도</t>
  </si>
  <si>
    <t xml:space="preserve">수박</t>
  </si>
  <si>
    <t xml:space="preserve">앵두</t>
  </si>
  <si>
    <t xml:space="preserve">N017</t>
  </si>
  <si>
    <t xml:space="preserve">기차</t>
  </si>
  <si>
    <t xml:space="preserve">버스</t>
  </si>
  <si>
    <t xml:space="preserve">애벌레</t>
  </si>
  <si>
    <t xml:space="preserve">냉장고</t>
  </si>
  <si>
    <t xml:space="preserve">N018</t>
  </si>
  <si>
    <t xml:space="preserve">우체통</t>
  </si>
  <si>
    <t xml:space="preserve">가로등</t>
  </si>
  <si>
    <t xml:space="preserve">소화전</t>
  </si>
  <si>
    <t xml:space="preserve">베개</t>
  </si>
  <si>
    <t xml:space="preserve">N019</t>
  </si>
  <si>
    <t xml:space="preserve">세탁기</t>
  </si>
  <si>
    <t xml:space="preserve">옷장</t>
  </si>
  <si>
    <t xml:space="preserve">나비</t>
  </si>
  <si>
    <t xml:space="preserve">N020</t>
  </si>
  <si>
    <t xml:space="preserve">계단</t>
  </si>
  <si>
    <t xml:space="preserve">기린</t>
  </si>
  <si>
    <t xml:space="preserve">N021</t>
  </si>
  <si>
    <t xml:space="preserve">빗자루</t>
  </si>
  <si>
    <t xml:space="preserve">걸레</t>
  </si>
  <si>
    <t xml:space="preserve">붓</t>
  </si>
  <si>
    <t xml:space="preserve">안경</t>
  </si>
  <si>
    <t xml:space="preserve">N022</t>
  </si>
  <si>
    <t xml:space="preserve">목도리</t>
  </si>
  <si>
    <t xml:space="preserve">넥타이</t>
  </si>
  <si>
    <t xml:space="preserve">N023</t>
  </si>
  <si>
    <t xml:space="preserve">팔꿈치</t>
  </si>
  <si>
    <t xml:space="preserve">무릎</t>
  </si>
  <si>
    <t xml:space="preserve">어깨</t>
  </si>
  <si>
    <t xml:space="preserve">발목</t>
  </si>
  <si>
    <r>
      <rPr>
        <sz val="10"/>
        <rFont val="Noto Sans CJK SC"/>
        <family val="2"/>
      </rPr>
      <t xml:space="preserve">오답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 모두 신체부위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무관자극 미사용</t>
    </r>
    <r>
      <rPr>
        <sz val="10"/>
        <rFont val="Malgun Gothic"/>
        <family val="0"/>
        <charset val="1"/>
      </rPr>
      <t xml:space="preserve">)</t>
    </r>
  </si>
  <si>
    <t xml:space="preserve">N024</t>
  </si>
  <si>
    <t xml:space="preserve">옥수수</t>
  </si>
  <si>
    <t xml:space="preserve">당근</t>
  </si>
  <si>
    <t xml:space="preserve">N025</t>
  </si>
  <si>
    <t xml:space="preserve">다람쥐</t>
  </si>
  <si>
    <t xml:space="preserve">토끼</t>
  </si>
  <si>
    <t xml:space="preserve">쥐</t>
  </si>
  <si>
    <t xml:space="preserve">N026</t>
  </si>
  <si>
    <t xml:space="preserve">거북이</t>
  </si>
  <si>
    <t xml:space="preserve">개구리</t>
  </si>
  <si>
    <t xml:space="preserve">바위</t>
  </si>
  <si>
    <t xml:space="preserve">빗</t>
  </si>
  <si>
    <t xml:space="preserve">N027</t>
  </si>
  <si>
    <t xml:space="preserve">가위</t>
  </si>
  <si>
    <t xml:space="preserve">칼</t>
  </si>
  <si>
    <t xml:space="preserve">집게</t>
  </si>
  <si>
    <t xml:space="preserve">N028</t>
  </si>
  <si>
    <t xml:space="preserve">연</t>
  </si>
  <si>
    <t xml:space="preserve">전구</t>
  </si>
  <si>
    <t xml:space="preserve">N029</t>
  </si>
  <si>
    <t xml:space="preserve">지갑</t>
  </si>
  <si>
    <t xml:space="preserve">필통</t>
  </si>
  <si>
    <t xml:space="preserve">N030</t>
  </si>
  <si>
    <t xml:space="preserve">비행기</t>
  </si>
  <si>
    <t xml:space="preserve">헬리콥터</t>
  </si>
  <si>
    <t xml:space="preserve">냄비</t>
  </si>
  <si>
    <t xml:space="preserve">N031</t>
  </si>
  <si>
    <t xml:space="preserve">책장</t>
  </si>
  <si>
    <t xml:space="preserve">N032</t>
  </si>
  <si>
    <t xml:space="preserve">수도꼭지</t>
  </si>
  <si>
    <t xml:space="preserve">호스</t>
  </si>
  <si>
    <t xml:space="preserve">망치</t>
  </si>
  <si>
    <t xml:space="preserve">N033</t>
  </si>
  <si>
    <t xml:space="preserve">손</t>
  </si>
  <si>
    <t xml:space="preserve">V011</t>
  </si>
  <si>
    <t xml:space="preserve">자르다</t>
  </si>
  <si>
    <t xml:space="preserve">붙이다</t>
  </si>
  <si>
    <t xml:space="preserve">찢다</t>
  </si>
  <si>
    <t xml:space="preserve">접다</t>
  </si>
  <si>
    <t xml:space="preserve">V012</t>
  </si>
  <si>
    <t xml:space="preserve">떼다</t>
  </si>
  <si>
    <t xml:space="preserve">칠하다</t>
  </si>
  <si>
    <t xml:space="preserve">굴리다</t>
  </si>
  <si>
    <t xml:space="preserve">V013</t>
  </si>
  <si>
    <t xml:space="preserve">밀다</t>
  </si>
  <si>
    <t xml:space="preserve">당기다</t>
  </si>
  <si>
    <t xml:space="preserve">들다</t>
  </si>
  <si>
    <t xml:space="preserve">V014</t>
  </si>
  <si>
    <t xml:space="preserve">V015</t>
  </si>
  <si>
    <t xml:space="preserve">놓다</t>
  </si>
  <si>
    <t xml:space="preserve">떨어뜨리다</t>
  </si>
  <si>
    <t xml:space="preserve">V016</t>
  </si>
  <si>
    <t xml:space="preserve">매달리다</t>
  </si>
  <si>
    <t xml:space="preserve">기어오르다</t>
  </si>
  <si>
    <t xml:space="preserve">뛰어내리다</t>
  </si>
  <si>
    <t xml:space="preserve">V017</t>
  </si>
  <si>
    <t xml:space="preserve">기어가다</t>
  </si>
  <si>
    <t xml:space="preserve">V018</t>
  </si>
  <si>
    <t xml:space="preserve">숨다</t>
  </si>
  <si>
    <t xml:space="preserve">찾다</t>
  </si>
  <si>
    <t xml:space="preserve">웅크리다</t>
  </si>
  <si>
    <t xml:space="preserve">V019</t>
  </si>
  <si>
    <t xml:space="preserve">넘어지다</t>
  </si>
  <si>
    <t xml:space="preserve">일어나다</t>
  </si>
  <si>
    <t xml:space="preserve">V020</t>
  </si>
  <si>
    <t xml:space="preserve">안다</t>
  </si>
  <si>
    <t xml:space="preserve">업다</t>
  </si>
  <si>
    <t xml:space="preserve">V021</t>
  </si>
  <si>
    <t xml:space="preserve">쏟다</t>
  </si>
  <si>
    <t xml:space="preserve">붓다</t>
  </si>
  <si>
    <t xml:space="preserve">V022</t>
  </si>
  <si>
    <t xml:space="preserve">펴다</t>
  </si>
  <si>
    <t xml:space="preserve">쓰다</t>
  </si>
  <si>
    <t xml:space="preserve">A004</t>
  </si>
  <si>
    <t xml:space="preserve">둥글다</t>
  </si>
  <si>
    <t xml:space="preserve">네모나다</t>
  </si>
  <si>
    <t xml:space="preserve">A005</t>
  </si>
  <si>
    <t xml:space="preserve">무겁다</t>
  </si>
  <si>
    <t xml:space="preserve">가볍다</t>
  </si>
  <si>
    <t xml:space="preserve">A006</t>
  </si>
  <si>
    <t xml:space="preserve">뾰족하다</t>
  </si>
  <si>
    <t xml:space="preserve">뭉툭하다</t>
  </si>
  <si>
    <t xml:space="preserve">A007</t>
  </si>
  <si>
    <t xml:space="preserve">좁다</t>
  </si>
  <si>
    <t xml:space="preserve">넓다</t>
  </si>
  <si>
    <t xml:space="preserve">짧다</t>
  </si>
  <si>
    <t xml:space="preserve">N034</t>
  </si>
  <si>
    <t xml:space="preserve">C</t>
  </si>
  <si>
    <t xml:space="preserve">6;0-8;11</t>
  </si>
  <si>
    <t xml:space="preserve">파인애플</t>
  </si>
  <si>
    <t xml:space="preserve">멜론</t>
  </si>
  <si>
    <t xml:space="preserve">솔방울</t>
  </si>
  <si>
    <t xml:space="preserve">N035</t>
  </si>
  <si>
    <t xml:space="preserve">선풍기</t>
  </si>
  <si>
    <t xml:space="preserve">N036</t>
  </si>
  <si>
    <t xml:space="preserve">얼룩말</t>
  </si>
  <si>
    <t xml:space="preserve">사슴</t>
  </si>
  <si>
    <t xml:space="preserve">N037</t>
  </si>
  <si>
    <t xml:space="preserve">하마</t>
  </si>
  <si>
    <t xml:space="preserve">코뿔소</t>
  </si>
  <si>
    <t xml:space="preserve">돼지</t>
  </si>
  <si>
    <t xml:space="preserve">소파</t>
  </si>
  <si>
    <t xml:space="preserve">N038</t>
  </si>
  <si>
    <t xml:space="preserve">저울</t>
  </si>
  <si>
    <t xml:space="preserve">줄자</t>
  </si>
  <si>
    <t xml:space="preserve">N039</t>
  </si>
  <si>
    <t xml:space="preserve">등대</t>
  </si>
  <si>
    <t xml:space="preserve">항구</t>
  </si>
  <si>
    <t xml:space="preserve">굴뚝</t>
  </si>
  <si>
    <t xml:space="preserve">N040</t>
  </si>
  <si>
    <t xml:space="preserve">소화기</t>
  </si>
  <si>
    <t xml:space="preserve">보온병</t>
  </si>
  <si>
    <t xml:space="preserve">N041</t>
  </si>
  <si>
    <t xml:space="preserve">지구본</t>
  </si>
  <si>
    <t xml:space="preserve">지도</t>
  </si>
  <si>
    <t xml:space="preserve">축구공</t>
  </si>
  <si>
    <t xml:space="preserve">N042</t>
  </si>
  <si>
    <t xml:space="preserve">우물</t>
  </si>
  <si>
    <t xml:space="preserve">연못</t>
  </si>
  <si>
    <t xml:space="preserve">N043</t>
  </si>
  <si>
    <t xml:space="preserve">손수레</t>
  </si>
  <si>
    <t xml:space="preserve">유모차</t>
  </si>
  <si>
    <t xml:space="preserve">N044</t>
  </si>
  <si>
    <t xml:space="preserve">그네</t>
  </si>
  <si>
    <t xml:space="preserve">미끄럼틀</t>
  </si>
  <si>
    <t xml:space="preserve">N045</t>
  </si>
  <si>
    <t xml:space="preserve">낚싯대</t>
  </si>
  <si>
    <t xml:space="preserve">그물</t>
  </si>
  <si>
    <t xml:space="preserve">N046</t>
  </si>
  <si>
    <t xml:space="preserve">물뿌리개</t>
  </si>
  <si>
    <t xml:space="preserve">N047</t>
  </si>
  <si>
    <t xml:space="preserve">꽃병</t>
  </si>
  <si>
    <t xml:space="preserve">N048</t>
  </si>
  <si>
    <t xml:space="preserve">국자</t>
  </si>
  <si>
    <t xml:space="preserve">주걱</t>
  </si>
  <si>
    <t xml:space="preserve">V023</t>
  </si>
  <si>
    <t xml:space="preserve">젖다</t>
  </si>
  <si>
    <t xml:space="preserve">마르다</t>
  </si>
  <si>
    <t xml:space="preserve">더러워지다</t>
  </si>
  <si>
    <t xml:space="preserve">깨지다</t>
  </si>
  <si>
    <t xml:space="preserve">V024</t>
  </si>
  <si>
    <t xml:space="preserve">놀라다</t>
  </si>
  <si>
    <t xml:space="preserve">무서워하다</t>
  </si>
  <si>
    <t xml:space="preserve">화나다</t>
  </si>
  <si>
    <t xml:space="preserve">V025</t>
  </si>
  <si>
    <t xml:space="preserve">기대다</t>
  </si>
  <si>
    <t xml:space="preserve">V026</t>
  </si>
  <si>
    <t xml:space="preserve">두드리다</t>
  </si>
  <si>
    <t xml:space="preserve">누르다</t>
  </si>
  <si>
    <t xml:space="preserve">쓰다듬다</t>
  </si>
  <si>
    <t xml:space="preserve">V027</t>
  </si>
  <si>
    <t xml:space="preserve">쓸다</t>
  </si>
  <si>
    <t xml:space="preserve">긁다</t>
  </si>
  <si>
    <t xml:space="preserve">읽다</t>
  </si>
  <si>
    <t xml:space="preserve">V028</t>
  </si>
  <si>
    <t xml:space="preserve">널다</t>
  </si>
  <si>
    <t xml:space="preserve">걸다</t>
  </si>
  <si>
    <t xml:space="preserve">V029</t>
  </si>
  <si>
    <t xml:space="preserve">굽다</t>
  </si>
  <si>
    <t xml:space="preserve">끓이다</t>
  </si>
  <si>
    <t xml:space="preserve">볶다</t>
  </si>
  <si>
    <t xml:space="preserve">썰다</t>
  </si>
  <si>
    <t xml:space="preserve">V030</t>
  </si>
  <si>
    <t xml:space="preserve">찌르다</t>
  </si>
  <si>
    <t xml:space="preserve">베다</t>
  </si>
  <si>
    <t xml:space="preserve">가리키다</t>
  </si>
  <si>
    <t xml:space="preserve">V031</t>
  </si>
  <si>
    <t xml:space="preserve">뿌리다</t>
  </si>
  <si>
    <t xml:space="preserve">털다</t>
  </si>
  <si>
    <t xml:space="preserve">V032</t>
  </si>
  <si>
    <t xml:space="preserve">쌓다</t>
  </si>
  <si>
    <t xml:space="preserve">무너뜨리다</t>
  </si>
  <si>
    <t xml:space="preserve">늘어놓다</t>
  </si>
  <si>
    <t xml:space="preserve">V033</t>
  </si>
  <si>
    <t xml:space="preserve">묶다</t>
  </si>
  <si>
    <t xml:space="preserve">풀다</t>
  </si>
  <si>
    <t xml:space="preserve">감다</t>
  </si>
  <si>
    <t xml:space="preserve">A008</t>
  </si>
  <si>
    <t xml:space="preserve">매끄럽다</t>
  </si>
  <si>
    <t xml:space="preserve">거칠다</t>
  </si>
  <si>
    <t xml:space="preserve">반짝이다</t>
  </si>
  <si>
    <t xml:space="preserve">A009</t>
  </si>
  <si>
    <t xml:space="preserve">투명하다</t>
  </si>
  <si>
    <t xml:space="preserve">불투명하다</t>
  </si>
  <si>
    <t xml:space="preserve">A010</t>
  </si>
  <si>
    <t xml:space="preserve">깊다</t>
  </si>
  <si>
    <t xml:space="preserve">얕다</t>
  </si>
  <si>
    <t xml:space="preserve">높다</t>
  </si>
  <si>
    <t xml:space="preserve">A011</t>
  </si>
  <si>
    <t xml:space="preserve">날카롭다</t>
  </si>
  <si>
    <t xml:space="preserve">무디다</t>
  </si>
  <si>
    <t xml:space="preserve">가늘다</t>
  </si>
  <si>
    <t xml:space="preserve">N049</t>
  </si>
  <si>
    <t xml:space="preserve">D</t>
  </si>
  <si>
    <t xml:space="preserve">9;0-11;11</t>
  </si>
  <si>
    <t xml:space="preserve">잠수함</t>
  </si>
  <si>
    <t xml:space="preserve">여객선</t>
  </si>
  <si>
    <t xml:space="preserve">고래</t>
  </si>
  <si>
    <t xml:space="preserve">N050</t>
  </si>
  <si>
    <t xml:space="preserve">망원경</t>
  </si>
  <si>
    <t xml:space="preserve">현미경</t>
  </si>
  <si>
    <t xml:space="preserve">손전등</t>
  </si>
  <si>
    <t xml:space="preserve">N051</t>
  </si>
  <si>
    <t xml:space="preserve">나침반</t>
  </si>
  <si>
    <t xml:space="preserve">N052</t>
  </si>
  <si>
    <t xml:space="preserve">청진기</t>
  </si>
  <si>
    <t xml:space="preserve">체온계</t>
  </si>
  <si>
    <t xml:space="preserve">헤드폰</t>
  </si>
  <si>
    <t xml:space="preserve">N053</t>
  </si>
  <si>
    <t xml:space="preserve">스탠드</t>
  </si>
  <si>
    <t xml:space="preserve">N054</t>
  </si>
  <si>
    <t xml:space="preserve">화석</t>
  </si>
  <si>
    <t xml:space="preserve">유물</t>
  </si>
  <si>
    <t xml:space="preserve">조각상</t>
  </si>
  <si>
    <t xml:space="preserve">쿠션</t>
  </si>
  <si>
    <t xml:space="preserve">N055</t>
  </si>
  <si>
    <t xml:space="preserve">난로</t>
  </si>
  <si>
    <t xml:space="preserve">N056</t>
  </si>
  <si>
    <t xml:space="preserve">절구</t>
  </si>
  <si>
    <t xml:space="preserve">맷돌</t>
  </si>
  <si>
    <t xml:space="preserve">N057</t>
  </si>
  <si>
    <t xml:space="preserve">도르래</t>
  </si>
  <si>
    <t xml:space="preserve">지렛대</t>
  </si>
  <si>
    <t xml:space="preserve">물레방아</t>
  </si>
  <si>
    <t xml:space="preserve">방석</t>
  </si>
  <si>
    <t xml:space="preserve">N058</t>
  </si>
  <si>
    <t xml:space="preserve">깔때기</t>
  </si>
  <si>
    <t xml:space="preserve">체</t>
  </si>
  <si>
    <t xml:space="preserve">고깔모자</t>
  </si>
  <si>
    <t xml:space="preserve">N059</t>
  </si>
  <si>
    <t xml:space="preserve">온도계</t>
  </si>
  <si>
    <t xml:space="preserve">습도계</t>
  </si>
  <si>
    <t xml:space="preserve">주사기</t>
  </si>
  <si>
    <t xml:space="preserve">N060</t>
  </si>
  <si>
    <t xml:space="preserve">막대기</t>
  </si>
  <si>
    <t xml:space="preserve">N061</t>
  </si>
  <si>
    <t xml:space="preserve">굴착기</t>
  </si>
  <si>
    <t xml:space="preserve">불도저</t>
  </si>
  <si>
    <t xml:space="preserve">N062</t>
  </si>
  <si>
    <t xml:space="preserve">방파제</t>
  </si>
  <si>
    <t xml:space="preserve">둑</t>
  </si>
  <si>
    <t xml:space="preserve">다리</t>
  </si>
  <si>
    <t xml:space="preserve">V034</t>
  </si>
  <si>
    <t xml:space="preserve">V035</t>
  </si>
  <si>
    <t xml:space="preserve">젓다</t>
  </si>
  <si>
    <t xml:space="preserve">반죽하다</t>
  </si>
  <si>
    <t xml:space="preserve">찍다</t>
  </si>
  <si>
    <t xml:space="preserve">V036</t>
  </si>
  <si>
    <t xml:space="preserve">갈다</t>
  </si>
  <si>
    <t xml:space="preserve">다듬다</t>
  </si>
  <si>
    <t xml:space="preserve">문지르다</t>
  </si>
  <si>
    <t xml:space="preserve">V037</t>
  </si>
  <si>
    <t xml:space="preserve">조립하다</t>
  </si>
  <si>
    <t xml:space="preserve">분해하다</t>
  </si>
  <si>
    <t xml:space="preserve">V038</t>
  </si>
  <si>
    <t xml:space="preserve">측량하다</t>
  </si>
  <si>
    <t xml:space="preserve">계산하다</t>
  </si>
  <si>
    <t xml:space="preserve">촬영하다</t>
  </si>
  <si>
    <t xml:space="preserve">청소하다</t>
  </si>
  <si>
    <t xml:space="preserve">V039</t>
  </si>
  <si>
    <t xml:space="preserve">항해하다</t>
  </si>
  <si>
    <t xml:space="preserve">비행하다</t>
  </si>
  <si>
    <t xml:space="preserve">낚시하다</t>
  </si>
  <si>
    <t xml:space="preserve">등산하다</t>
  </si>
  <si>
    <t xml:space="preserve">V040</t>
  </si>
  <si>
    <t xml:space="preserve">수확하다</t>
  </si>
  <si>
    <t xml:space="preserve">파종하다</t>
  </si>
  <si>
    <t xml:space="preserve">잡초를 뽑다</t>
  </si>
  <si>
    <t xml:space="preserve">요리하다</t>
  </si>
  <si>
    <t xml:space="preserve">V041</t>
  </si>
  <si>
    <t xml:space="preserve">응원하다</t>
  </si>
  <si>
    <t xml:space="preserve">박수치다</t>
  </si>
  <si>
    <t xml:space="preserve">손을 흔들다</t>
  </si>
  <si>
    <t xml:space="preserve">노래하다</t>
  </si>
  <si>
    <t xml:space="preserve">V042</t>
  </si>
  <si>
    <t xml:space="preserve">빗질하다</t>
  </si>
  <si>
    <t xml:space="preserve">A012</t>
  </si>
  <si>
    <t xml:space="preserve">울퉁불퉁하다</t>
  </si>
  <si>
    <t xml:space="preserve">평평하다</t>
  </si>
  <si>
    <t xml:space="preserve">구불구불하다</t>
  </si>
  <si>
    <t xml:space="preserve">A013</t>
  </si>
  <si>
    <t xml:space="preserve">가파르다</t>
  </si>
  <si>
    <t xml:space="preserve">완만하다</t>
  </si>
  <si>
    <t xml:space="preserve">A014</t>
  </si>
  <si>
    <t xml:space="preserve">비좁다</t>
  </si>
  <si>
    <t xml:space="preserve">널찍하다</t>
  </si>
  <si>
    <t xml:space="preserve">어둡다</t>
  </si>
  <si>
    <t xml:space="preserve">N063</t>
  </si>
  <si>
    <t xml:space="preserve">E</t>
  </si>
  <si>
    <t xml:space="preserve">12;0-14;11</t>
  </si>
  <si>
    <t xml:space="preserve">갈고리</t>
  </si>
  <si>
    <t xml:space="preserve">물음표</t>
  </si>
  <si>
    <t xml:space="preserve">접시</t>
  </si>
  <si>
    <t xml:space="preserve">N064</t>
  </si>
  <si>
    <t xml:space="preserve">톱니바퀴</t>
  </si>
  <si>
    <t xml:space="preserve">해바라기</t>
  </si>
  <si>
    <t xml:space="preserve">N065</t>
  </si>
  <si>
    <t xml:space="preserve">용수철</t>
  </si>
  <si>
    <t xml:space="preserve">고무줄</t>
  </si>
  <si>
    <t xml:space="preserve">나선계단</t>
  </si>
  <si>
    <t xml:space="preserve">N066</t>
  </si>
  <si>
    <t xml:space="preserve">나사못</t>
  </si>
  <si>
    <t xml:space="preserve">못</t>
  </si>
  <si>
    <t xml:space="preserve">드릴날</t>
  </si>
  <si>
    <t xml:space="preserve">N067</t>
  </si>
  <si>
    <t xml:space="preserve">저울추</t>
  </si>
  <si>
    <t xml:space="preserve">모래주머니</t>
  </si>
  <si>
    <t xml:space="preserve">종</t>
  </si>
  <si>
    <t xml:space="preserve">N068</t>
  </si>
  <si>
    <t xml:space="preserve">풍향계</t>
  </si>
  <si>
    <t xml:space="preserve">풍속계</t>
  </si>
  <si>
    <t xml:space="preserve">십자가</t>
  </si>
  <si>
    <t xml:space="preserve">N069</t>
  </si>
  <si>
    <t xml:space="preserve">삼각주</t>
  </si>
  <si>
    <t xml:space="preserve">하구</t>
  </si>
  <si>
    <t xml:space="preserve">부채</t>
  </si>
  <si>
    <t xml:space="preserve">N070</t>
  </si>
  <si>
    <t xml:space="preserve">활주로</t>
  </si>
  <si>
    <t xml:space="preserve">선착장</t>
  </si>
  <si>
    <t xml:space="preserve">고속도로</t>
  </si>
  <si>
    <t xml:space="preserve">N071</t>
  </si>
  <si>
    <t xml:space="preserve">등고선</t>
  </si>
  <si>
    <t xml:space="preserve">축척</t>
  </si>
  <si>
    <t xml:space="preserve">지문</t>
  </si>
  <si>
    <t xml:space="preserve">악보</t>
  </si>
  <si>
    <t xml:space="preserve">V043</t>
  </si>
  <si>
    <t xml:space="preserve">발굴하다</t>
  </si>
  <si>
    <t xml:space="preserve">매장하다</t>
  </si>
  <si>
    <t xml:space="preserve">V044</t>
  </si>
  <si>
    <t xml:space="preserve">조각하다</t>
  </si>
  <si>
    <t xml:space="preserve">주조하다</t>
  </si>
  <si>
    <t xml:space="preserve">V045</t>
  </si>
  <si>
    <t xml:space="preserve">용접하다</t>
  </si>
  <si>
    <t xml:space="preserve">납땜하다</t>
  </si>
  <si>
    <t xml:space="preserve">V046</t>
  </si>
  <si>
    <t xml:space="preserve">관측하다</t>
  </si>
  <si>
    <t xml:space="preserve">조준하다</t>
  </si>
  <si>
    <t xml:space="preserve">V047</t>
  </si>
  <si>
    <t xml:space="preserve">정박하다</t>
  </si>
  <si>
    <t xml:space="preserve">출항하다</t>
  </si>
  <si>
    <t xml:space="preserve">착륙하다</t>
  </si>
  <si>
    <t xml:space="preserve">V048</t>
  </si>
  <si>
    <t xml:space="preserve">배열하다</t>
  </si>
  <si>
    <t xml:space="preserve">분류하다</t>
  </si>
  <si>
    <t xml:space="preserve">A015</t>
  </si>
  <si>
    <t xml:space="preserve">앙상하다</t>
  </si>
  <si>
    <t xml:space="preserve">무성하다</t>
  </si>
  <si>
    <t xml:space="preserve">A016</t>
  </si>
  <si>
    <t xml:space="preserve">어수선하다</t>
  </si>
  <si>
    <t xml:space="preserve">A017</t>
  </si>
  <si>
    <t xml:space="preserve">비스듬하다</t>
  </si>
  <si>
    <t xml:space="preserve">수직이다</t>
  </si>
  <si>
    <t xml:space="preserve">구부러지다</t>
  </si>
  <si>
    <t xml:space="preserve">N072</t>
  </si>
  <si>
    <t xml:space="preserve">F</t>
  </si>
  <si>
    <t xml:space="preserve">15;0-16;11</t>
  </si>
  <si>
    <t xml:space="preserve">부표</t>
  </si>
  <si>
    <t xml:space="preserve">N073</t>
  </si>
  <si>
    <t xml:space="preserve">아치</t>
  </si>
  <si>
    <t xml:space="preserve">기둥</t>
  </si>
  <si>
    <t xml:space="preserve">무지개</t>
  </si>
  <si>
    <t xml:space="preserve">N074</t>
  </si>
  <si>
    <t xml:space="preserve">나선</t>
  </si>
  <si>
    <t xml:space="preserve">원</t>
  </si>
  <si>
    <t xml:space="preserve">소용돌이</t>
  </si>
  <si>
    <t xml:space="preserve">격자</t>
  </si>
  <si>
    <t xml:space="preserve">N075</t>
  </si>
  <si>
    <t xml:space="preserve">첨탑</t>
  </si>
  <si>
    <t xml:space="preserve">돔</t>
  </si>
  <si>
    <t xml:space="preserve">N076</t>
  </si>
  <si>
    <t xml:space="preserve">여울</t>
  </si>
  <si>
    <t xml:space="preserve">폭포</t>
  </si>
  <si>
    <t xml:space="preserve">자갈밭</t>
  </si>
  <si>
    <t xml:space="preserve">초원</t>
  </si>
  <si>
    <t xml:space="preserve">N077</t>
  </si>
  <si>
    <t xml:space="preserve">능선</t>
  </si>
  <si>
    <t xml:space="preserve">계곡</t>
  </si>
  <si>
    <t xml:space="preserve">파도</t>
  </si>
  <si>
    <t xml:space="preserve">들판</t>
  </si>
  <si>
    <t xml:space="preserve">N078</t>
  </si>
  <si>
    <t xml:space="preserve">고랑</t>
  </si>
  <si>
    <t xml:space="preserve">이랑</t>
  </si>
  <si>
    <t xml:space="preserve">주름</t>
  </si>
  <si>
    <t xml:space="preserve">담장</t>
  </si>
  <si>
    <t xml:space="preserve">V049</t>
  </si>
  <si>
    <t xml:space="preserve">여과하다</t>
  </si>
  <si>
    <t xml:space="preserve">증류하다</t>
  </si>
  <si>
    <t xml:space="preserve">V050</t>
  </si>
  <si>
    <t xml:space="preserve">V051</t>
  </si>
  <si>
    <t xml:space="preserve">도열하다</t>
  </si>
  <si>
    <t xml:space="preserve">정렬하다</t>
  </si>
  <si>
    <t xml:space="preserve">행진하다</t>
  </si>
  <si>
    <t xml:space="preserve">V052</t>
  </si>
  <si>
    <t xml:space="preserve">응결하다</t>
  </si>
  <si>
    <t xml:space="preserve">증발하다</t>
  </si>
  <si>
    <t xml:space="preserve">녹다</t>
  </si>
  <si>
    <t xml:space="preserve">A018</t>
  </si>
  <si>
    <t xml:space="preserve">옴폭하다</t>
  </si>
  <si>
    <t xml:space="preserve">볼록하다</t>
  </si>
  <si>
    <t xml:space="preserve">A019</t>
  </si>
  <si>
    <t xml:space="preserve">자욱하다</t>
  </si>
  <si>
    <t xml:space="preserve">맑다</t>
  </si>
  <si>
    <t xml:space="preserve">흐릿하다</t>
  </si>
  <si>
    <t xml:space="preserve">A020</t>
  </si>
  <si>
    <t xml:space="preserve">헐겁다</t>
  </si>
  <si>
    <t xml:space="preserve">빡빡하다</t>
  </si>
  <si>
    <t xml:space="preserve">늘어지다</t>
  </si>
  <si>
    <r>
      <rPr>
        <b val="true"/>
        <sz val="12"/>
        <color rgb="FF1F3864"/>
        <rFont val="Noto Sans CJK SC"/>
        <family val="2"/>
      </rPr>
      <t xml:space="preserve">품사 </t>
    </r>
    <r>
      <rPr>
        <b val="true"/>
        <sz val="12"/>
        <color rgb="FF1F3864"/>
        <rFont val="Malgun Gothic"/>
        <family val="0"/>
        <charset val="1"/>
      </rPr>
      <t xml:space="preserve">× </t>
    </r>
    <r>
      <rPr>
        <b val="true"/>
        <sz val="12"/>
        <color rgb="FF1F3864"/>
        <rFont val="Noto Sans CJK SC"/>
        <family val="2"/>
      </rPr>
      <t xml:space="preserve">난이도구간 문항 분포</t>
    </r>
  </si>
  <si>
    <t xml:space="preserve">소계</t>
  </si>
  <si>
    <t xml:space="preserve">합계</t>
  </si>
  <si>
    <t xml:space="preserve">비율</t>
  </si>
  <si>
    <r>
      <rPr>
        <sz val="9"/>
        <color rgb="FF666666"/>
        <rFont val="Malgun Gothic"/>
        <family val="0"/>
        <charset val="1"/>
      </rPr>
      <t xml:space="preserve">REVT-R </t>
    </r>
    <r>
      <rPr>
        <sz val="9"/>
        <color rgb="FF666666"/>
        <rFont val="Noto Sans CJK SC"/>
        <family val="2"/>
      </rPr>
      <t xml:space="preserve">참조 비율</t>
    </r>
    <r>
      <rPr>
        <sz val="9"/>
        <color rgb="FF666666"/>
        <rFont val="Malgun Gothic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명사 </t>
    </r>
    <r>
      <rPr>
        <sz val="9"/>
        <color rgb="FF666666"/>
        <rFont val="Malgun Gothic"/>
        <family val="0"/>
        <charset val="1"/>
      </rPr>
      <t xml:space="preserve">53% / </t>
    </r>
    <r>
      <rPr>
        <sz val="9"/>
        <color rgb="FF666666"/>
        <rFont val="Noto Sans CJK SC"/>
        <family val="2"/>
      </rPr>
      <t xml:space="preserve">동사 </t>
    </r>
    <r>
      <rPr>
        <sz val="9"/>
        <color rgb="FF666666"/>
        <rFont val="Malgun Gothic"/>
        <family val="0"/>
        <charset val="1"/>
      </rPr>
      <t xml:space="preserve">37% / </t>
    </r>
    <r>
      <rPr>
        <sz val="9"/>
        <color rgb="FF666666"/>
        <rFont val="Noto Sans CJK SC"/>
        <family val="2"/>
      </rPr>
      <t xml:space="preserve">형용사</t>
    </r>
    <r>
      <rPr>
        <sz val="9"/>
        <color rgb="FF666666"/>
        <rFont val="Malgun Gothic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부사 </t>
    </r>
    <r>
      <rPr>
        <sz val="9"/>
        <color rgb="FF666666"/>
        <rFont val="Malgun Gothic"/>
        <family val="0"/>
        <charset val="1"/>
      </rPr>
      <t xml:space="preserve">10% (</t>
    </r>
    <r>
      <rPr>
        <sz val="9"/>
        <color rgb="FF666666"/>
        <rFont val="Noto Sans CJK SC"/>
        <family val="2"/>
      </rPr>
      <t xml:space="preserve">수용어휘 </t>
    </r>
    <r>
      <rPr>
        <sz val="9"/>
        <color rgb="FF666666"/>
        <rFont val="Malgun Gothic"/>
        <family val="0"/>
        <charset val="1"/>
      </rPr>
      <t xml:space="preserve">185</t>
    </r>
    <r>
      <rPr>
        <sz val="9"/>
        <color rgb="FF666666"/>
        <rFont val="Noto Sans CJK SC"/>
        <family val="2"/>
      </rPr>
      <t xml:space="preserve">문항 기준</t>
    </r>
    <r>
      <rPr>
        <sz val="9"/>
        <color rgb="FF666666"/>
        <rFont val="Malgun Gothic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</si>
  <si>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출처</t>
    </r>
    <r>
      <rPr>
        <sz val="9"/>
        <color rgb="FF666666"/>
        <rFont val="Malgun Gothic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김영태 외</t>
    </r>
    <r>
      <rPr>
        <sz val="9"/>
        <color rgb="FF666666"/>
        <rFont val="Malgun Gothic"/>
        <family val="0"/>
        <charset val="1"/>
      </rPr>
      <t xml:space="preserve">(2009) </t>
    </r>
    <r>
      <rPr>
        <sz val="9"/>
        <color rgb="FF666666"/>
        <rFont val="Noto Sans CJK SC"/>
        <family val="2"/>
      </rPr>
      <t xml:space="preserve">수용</t>
    </r>
    <r>
      <rPr>
        <sz val="9"/>
        <color rgb="FF666666"/>
        <rFont val="Malgun Gothic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표현 어휘력검사 표준화 연구</t>
    </r>
    <r>
      <rPr>
        <sz val="9"/>
        <color rgb="FF666666"/>
        <rFont val="Malgun Gothic"/>
        <family val="0"/>
        <charset val="1"/>
      </rPr>
      <t xml:space="preserve">, Communication Sciences &amp; Disorders 14(1)</t>
    </r>
  </si>
  <si>
    <r>
      <rPr>
        <b val="true"/>
        <sz val="11"/>
        <color rgb="FF1F3864"/>
        <rFont val="Noto Sans CJK SC"/>
        <family val="2"/>
      </rPr>
      <t xml:space="preserve">정답 위치 분포 </t>
    </r>
    <r>
      <rPr>
        <b val="true"/>
        <sz val="11"/>
        <color rgb="FF1F3864"/>
        <rFont val="Malgun Gothic"/>
        <family val="0"/>
        <charset val="1"/>
      </rPr>
      <t xml:space="preserve">(1~4 </t>
    </r>
    <r>
      <rPr>
        <b val="true"/>
        <sz val="11"/>
        <color rgb="FF1F3864"/>
        <rFont val="Noto Sans CJK SC"/>
        <family val="2"/>
      </rPr>
      <t xml:space="preserve">균등 배분 확인용</t>
    </r>
    <r>
      <rPr>
        <b val="true"/>
        <sz val="11"/>
        <color rgb="FF1F3864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</si>
  <si>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위치 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</si>
  <si>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위치 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</si>
  <si>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위치 </t>
    </r>
    <r>
      <rPr>
        <sz val="10"/>
        <rFont val="Malgun Gothic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</si>
  <si>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위치 </t>
    </r>
    <r>
      <rPr>
        <sz val="10"/>
        <rFont val="Malgun Gothic"/>
        <family val="0"/>
        <charset val="1"/>
      </rPr>
      <t xml:space="preserve">4</t>
    </r>
  </si>
  <si>
    <t xml:space="preserve">항목</t>
  </si>
  <si>
    <t xml:space="preserve">설명</t>
  </si>
  <si>
    <r>
      <rPr>
        <sz val="10"/>
        <rFont val="Noto Sans CJK SC"/>
        <family val="2"/>
      </rPr>
      <t xml:space="preserve">문항</t>
    </r>
    <r>
      <rPr>
        <sz val="10"/>
        <rFont val="Malgun Gothic"/>
        <family val="0"/>
        <charset val="1"/>
      </rPr>
      <t xml:space="preserve">ID</t>
    </r>
  </si>
  <si>
    <r>
      <rPr>
        <sz val="10"/>
        <rFont val="Malgun Gothic"/>
        <family val="0"/>
        <charset val="1"/>
      </rPr>
      <t xml:space="preserve">N=</t>
    </r>
    <r>
      <rPr>
        <sz val="10"/>
        <rFont val="Noto Sans CJK SC"/>
        <family val="2"/>
      </rPr>
      <t xml:space="preserve">명사</t>
    </r>
    <r>
      <rPr>
        <sz val="10"/>
        <rFont val="Malgun Gothic"/>
        <family val="0"/>
        <charset val="1"/>
      </rPr>
      <t xml:space="preserve">, V=</t>
    </r>
    <r>
      <rPr>
        <sz val="10"/>
        <rFont val="Noto Sans CJK SC"/>
        <family val="2"/>
      </rPr>
      <t xml:space="preserve">동사</t>
    </r>
    <r>
      <rPr>
        <sz val="10"/>
        <rFont val="Malgun Gothic"/>
        <family val="0"/>
        <charset val="1"/>
      </rPr>
      <t xml:space="preserve">, A=</t>
    </r>
    <r>
      <rPr>
        <sz val="10"/>
        <rFont val="Noto Sans CJK SC"/>
        <family val="2"/>
      </rPr>
      <t xml:space="preserve">형용사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한번 부여하면 영구 고정하며 폐기 문항의 번호도 재사용하지 않는다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</si>
  <si>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제시 순서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예비조사로 난이도가 재추정되면 변경될 수 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</si>
  <si>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1=2;6~8;11 </t>
    </r>
    <r>
      <rPr>
        <sz val="10"/>
        <rFont val="Noto Sans CJK SC"/>
        <family val="2"/>
      </rPr>
      <t xml:space="preserve">구간 문항</t>
    </r>
    <r>
      <rPr>
        <sz val="10"/>
        <rFont val="Malgun Gothic"/>
        <family val="0"/>
        <charset val="1"/>
      </rPr>
      <t xml:space="preserve">(92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), 2=9;0~16;11 </t>
    </r>
    <r>
      <rPr>
        <sz val="10"/>
        <rFont val="Noto Sans CJK SC"/>
        <family val="2"/>
      </rPr>
      <t xml:space="preserve">구간 문항</t>
    </r>
    <r>
      <rPr>
        <sz val="10"/>
        <rFont val="Malgun Gothic"/>
        <family val="0"/>
        <charset val="1"/>
      </rPr>
      <t xml:space="preserve">(58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</si>
  <si>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A~F. </t>
    </r>
    <r>
      <rPr>
        <sz val="10"/>
        <rFont val="Noto Sans CJK SC"/>
        <family val="2"/>
      </rPr>
      <t xml:space="preserve">예상 습득 연령대에 따른 잠정 구분이며 경험적 근거가 아니다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</si>
  <si>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오답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의미</t>
    </r>
    <r>
      <rPr>
        <sz val="10"/>
        <rFont val="Malgun Gothic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</si>
  <si>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목표어와 같은 의미범주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선택 시 범주 지식은 있으나 세부 어휘 지식이 부족한 것으로 해석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</si>
  <si>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오답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시각</t>
    </r>
    <r>
      <rPr>
        <sz val="10"/>
        <rFont val="Malgun Gothic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</si>
  <si>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그림상 형태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윤곽이 유사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선택 시 시지각적 추측 반응으로 해석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</si>
  <si>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오답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무관</t>
    </r>
    <r>
      <rPr>
        <sz val="10"/>
        <rFont val="Malgun Gothic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</si>
  <si>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의미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시각 모두 무관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선택 시 무선 반응 또는 과제 이해 실패를 시사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</si>
  <si>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2x2 </t>
    </r>
    <r>
      <rPr>
        <sz val="10"/>
        <rFont val="Noto Sans CJK SC"/>
        <family val="2"/>
      </rPr>
      <t xml:space="preserve">격자에서 </t>
    </r>
    <r>
      <rPr>
        <sz val="10"/>
        <rFont val="Malgun Gothic"/>
        <family val="0"/>
        <charset val="1"/>
      </rPr>
      <t xml:space="preserve">1=</t>
    </r>
    <r>
      <rPr>
        <sz val="10"/>
        <rFont val="Noto Sans CJK SC"/>
        <family val="2"/>
      </rPr>
      <t xml:space="preserve">좌상</t>
    </r>
    <r>
      <rPr>
        <sz val="10"/>
        <rFont val="Malgun Gothic"/>
        <family val="0"/>
        <charset val="1"/>
      </rPr>
      <t xml:space="preserve">, 2=</t>
    </r>
    <r>
      <rPr>
        <sz val="10"/>
        <rFont val="Noto Sans CJK SC"/>
        <family val="2"/>
      </rPr>
      <t xml:space="preserve">우상</t>
    </r>
    <r>
      <rPr>
        <sz val="10"/>
        <rFont val="Malgun Gothic"/>
        <family val="0"/>
        <charset val="1"/>
      </rPr>
      <t xml:space="preserve">, 3=</t>
    </r>
    <r>
      <rPr>
        <sz val="10"/>
        <rFont val="Noto Sans CJK SC"/>
        <family val="2"/>
      </rPr>
      <t xml:space="preserve">좌하</t>
    </r>
    <r>
      <rPr>
        <sz val="10"/>
        <rFont val="Malgun Gothic"/>
        <family val="0"/>
        <charset val="1"/>
      </rPr>
      <t xml:space="preserve">, 4=</t>
    </r>
    <r>
      <rPr>
        <sz val="10"/>
        <rFont val="Noto Sans CJK SC"/>
        <family val="2"/>
      </rPr>
      <t xml:space="preserve">우하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</si>
  <si>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IRT</t>
    </r>
    <r>
      <rPr>
        <sz val="10"/>
        <rFont val="Noto Sans CJK SC"/>
        <family val="2"/>
      </rPr>
      <t xml:space="preserve">난이도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</si>
  <si>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입력란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예비조사 후 문항반응이론으로 추정한 난이도 모수를 기입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</si>
  <si>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입력란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성인 </t>
    </r>
    <r>
      <rPr>
        <sz val="10"/>
        <rFont val="Malgun Gothic"/>
        <family val="0"/>
        <charset val="1"/>
      </rPr>
      <t xml:space="preserve">20~30</t>
    </r>
    <r>
      <rPr>
        <sz val="10"/>
        <rFont val="Noto Sans CJK SC"/>
        <family val="2"/>
      </rPr>
      <t xml:space="preserve">명 대상 자유명명 과제의 목표어휘 일치 비율</t>
    </r>
    <r>
      <rPr>
        <sz val="10"/>
        <rFont val="Malgun Gothic"/>
        <family val="0"/>
        <charset val="1"/>
      </rPr>
      <t xml:space="preserve">(%). </t>
    </r>
    <r>
      <rPr>
        <sz val="10"/>
        <rFont val="Noto Sans CJK SC"/>
        <family val="2"/>
      </rPr>
      <t xml:space="preserve">기준 </t>
    </r>
    <r>
      <rPr>
        <sz val="10"/>
        <rFont val="Malgun Gothic"/>
        <family val="0"/>
        <charset val="1"/>
      </rPr>
      <t xml:space="preserve">80%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</si>
  <si>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입력란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미검증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전문가검토완료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예비조사완료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확정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폐기</t>
    </r>
  </si>
  <si>
    <t xml:space="preserve">작성 원칙</t>
  </si>
  <si>
    <t xml:space="preserve">품사 비율</t>
  </si>
  <si>
    <r>
      <rPr>
        <sz val="10"/>
        <rFont val="Noto Sans CJK SC"/>
        <family val="2"/>
      </rPr>
      <t xml:space="preserve">명사 </t>
    </r>
    <r>
      <rPr>
        <sz val="10"/>
        <rFont val="Malgun Gothic"/>
        <family val="0"/>
        <charset val="1"/>
      </rPr>
      <t xml:space="preserve">52% / </t>
    </r>
    <r>
      <rPr>
        <sz val="10"/>
        <rFont val="Noto Sans CJK SC"/>
        <family val="2"/>
      </rPr>
      <t xml:space="preserve">동사 </t>
    </r>
    <r>
      <rPr>
        <sz val="10"/>
        <rFont val="Malgun Gothic"/>
        <family val="0"/>
        <charset val="1"/>
      </rPr>
      <t xml:space="preserve">35% / </t>
    </r>
    <r>
      <rPr>
        <sz val="10"/>
        <rFont val="Noto Sans CJK SC"/>
        <family val="2"/>
      </rPr>
      <t xml:space="preserve">형용사 </t>
    </r>
    <r>
      <rPr>
        <sz val="10"/>
        <rFont val="Malgun Gothic"/>
        <family val="0"/>
        <charset val="1"/>
      </rPr>
      <t xml:space="preserve">13%</t>
    </r>
    <r>
      <rPr>
        <sz val="10"/>
        <rFont val="Noto Sans CJK SC"/>
        <family val="2"/>
      </rPr>
      <t xml:space="preserve">를 모든 난이도구간에서 동일하게 유지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구간별 비율이 달라지면 품사별 하위점수를 척도 전체에서 비교할 수 없다</t>
    </r>
    <r>
      <rPr>
        <sz val="10"/>
        <rFont val="Malgun Gothic"/>
        <family val="0"/>
        <charset val="1"/>
      </rPr>
      <t xml:space="preserve">.</t>
    </r>
  </si>
  <si>
    <t xml:space="preserve">문항 수</t>
  </si>
  <si>
    <r>
      <rPr>
        <sz val="10"/>
        <rFont val="Malgun Gothic"/>
        <family val="0"/>
        <charset val="1"/>
      </rPr>
      <t xml:space="preserve">150</t>
    </r>
    <r>
      <rPr>
        <sz val="10"/>
        <rFont val="Noto Sans CJK SC"/>
        <family val="2"/>
      </rPr>
      <t xml:space="preserve">문항 개발 후 문항분석으로 </t>
    </r>
    <r>
      <rPr>
        <sz val="10"/>
        <rFont val="Malgun Gothic"/>
        <family val="0"/>
        <charset val="1"/>
      </rPr>
      <t xml:space="preserve">110~120</t>
    </r>
    <r>
      <rPr>
        <sz val="10"/>
        <rFont val="Noto Sans CJK SC"/>
        <family val="2"/>
      </rPr>
      <t xml:space="preserve">문항 확정 예정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통상 </t>
    </r>
    <r>
      <rPr>
        <sz val="10"/>
        <rFont val="Malgun Gothic"/>
        <family val="0"/>
        <charset val="1"/>
      </rPr>
      <t xml:space="preserve">20~30%</t>
    </r>
    <r>
      <rPr>
        <sz val="10"/>
        <rFont val="Noto Sans CJK SC"/>
        <family val="2"/>
      </rPr>
      <t xml:space="preserve">가 탈락한다</t>
    </r>
    <r>
      <rPr>
        <sz val="10"/>
        <rFont val="Malgun Gothic"/>
        <family val="0"/>
        <charset val="1"/>
      </rPr>
      <t xml:space="preserve">.</t>
    </r>
  </si>
  <si>
    <t xml:space="preserve">난이도 가중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</si>
  <si>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단계 구간에 </t>
    </r>
    <r>
      <rPr>
        <sz val="10"/>
        <rFont val="Malgun Gothic"/>
        <family val="0"/>
        <charset val="1"/>
      </rPr>
      <t xml:space="preserve">92</t>
    </r>
    <r>
      <rPr>
        <sz val="10"/>
        <rFont val="Noto Sans CJK SC"/>
        <family val="2"/>
      </rPr>
      <t xml:space="preserve">문항</t>
    </r>
    <r>
      <rPr>
        <sz val="10"/>
        <rFont val="Malgun Gothic"/>
        <family val="0"/>
        <charset val="1"/>
      </rPr>
      <t xml:space="preserve">(14.2</t>
    </r>
    <r>
      <rPr>
        <sz val="10"/>
        <rFont val="Noto Sans CJK SC"/>
        <family val="2"/>
      </rPr>
      <t xml:space="preserve">문항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년</t>
    </r>
    <r>
      <rPr>
        <sz val="10"/>
        <rFont val="Malgun Gothic"/>
        <family val="0"/>
        <charset val="1"/>
      </rPr>
      <t xml:space="preserve">), 2</t>
    </r>
    <r>
      <rPr>
        <sz val="10"/>
        <rFont val="Noto Sans CJK SC"/>
        <family val="2"/>
      </rPr>
      <t xml:space="preserve">단계 구간에 </t>
    </r>
    <r>
      <rPr>
        <sz val="10"/>
        <rFont val="Malgun Gothic"/>
        <family val="0"/>
        <charset val="1"/>
      </rPr>
      <t xml:space="preserve">58</t>
    </r>
    <r>
      <rPr>
        <sz val="10"/>
        <rFont val="Noto Sans CJK SC"/>
        <family val="2"/>
      </rPr>
      <t xml:space="preserve">문항</t>
    </r>
    <r>
      <rPr>
        <sz val="10"/>
        <rFont val="Malgun Gothic"/>
        <family val="0"/>
        <charset val="1"/>
      </rPr>
      <t xml:space="preserve">(7.3</t>
    </r>
    <r>
      <rPr>
        <sz val="10"/>
        <rFont val="Noto Sans CJK SC"/>
        <family val="2"/>
      </rPr>
      <t xml:space="preserve">문항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년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임상적 의사결정이 학령전기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초등 저학년에 집중되므로 해당 구간의 측정 정밀도를 우선했다</t>
    </r>
    <r>
      <rPr>
        <sz val="10"/>
        <rFont val="Malgun Gothic"/>
        <family val="0"/>
        <charset val="1"/>
      </rPr>
      <t xml:space="preserve">.</t>
    </r>
  </si>
  <si>
    <t xml:space="preserve">형용사 제약</t>
  </si>
  <si>
    <r>
      <rPr>
        <sz val="10"/>
        <rFont val="Noto Sans CJK SC"/>
        <family val="2"/>
      </rPr>
      <t xml:space="preserve">그림 제시가 가능한 구체적 속성어로 한정했다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추상적 형용사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정직하다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관대하다 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지선다 그림 형식으로 측정할 수 없다</t>
    </r>
    <r>
      <rPr>
        <sz val="10"/>
        <rFont val="Malgun Gothic"/>
        <family val="0"/>
        <charset val="1"/>
      </rPr>
      <t xml:space="preserve">.</t>
    </r>
  </si>
  <si>
    <t xml:space="preserve">경계 중복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</si>
  <si>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단계 검사는 </t>
    </r>
    <r>
      <rPr>
        <sz val="10"/>
        <rFont val="Malgun Gothic"/>
        <family val="0"/>
        <charset val="1"/>
      </rPr>
      <t xml:space="preserve">9;11</t>
    </r>
    <r>
      <rPr>
        <sz val="10"/>
        <rFont val="Noto Sans CJK SC"/>
        <family val="2"/>
      </rPr>
      <t xml:space="preserve">까지</t>
    </r>
    <r>
      <rPr>
        <sz val="10"/>
        <rFont val="Malgun Gothic"/>
        <family val="0"/>
        <charset val="1"/>
      </rPr>
      <t xml:space="preserve">, 2</t>
    </r>
    <r>
      <rPr>
        <sz val="10"/>
        <rFont val="Noto Sans CJK SC"/>
        <family val="2"/>
      </rPr>
      <t xml:space="preserve">단계 검사는 </t>
    </r>
    <r>
      <rPr>
        <sz val="10"/>
        <rFont val="Malgun Gothic"/>
        <family val="0"/>
        <charset val="1"/>
      </rPr>
      <t xml:space="preserve">8;0</t>
    </r>
    <r>
      <rPr>
        <sz val="10"/>
        <rFont val="Noto Sans CJK SC"/>
        <family val="2"/>
      </rPr>
      <t xml:space="preserve">부터 적용 가능하도록 중복 구간을 둔다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발달지체 아동에게 하위 구간을 적용해도 규준 해석이 유지된다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</si>
</sst>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2"/>
      <color rgb="FF1F3864"/>
      <name val="Noto Sans CJK SC"/>
      <family val="2"/>
    </font>
    <font>
      <b val="true"/>
      <sz val="12"/>
      <color rgb="FF1F3864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sz val="9"/>
      <color rgb="FF666666"/>
      <name val="Malgun Gothic"/>
      <family val="0"/>
      <charset val="1"/>
    </font>
    <font>
      <sz val="9"/>
      <color rgb="FF666666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Malgun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3F8FF"/>
      </patternFill>
    </fill>
    <fill>
      <patternFill patternType="solid">
        <fgColor rgb="FFF3F8FF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3F8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3F8FF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10" min="7" style="0" width="1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 t="n">
        <v>1</v>
      </c>
      <c r="B2" s="3" t="s">
        <v>15</v>
      </c>
      <c r="C2" s="3" t="n">
        <v>1</v>
      </c>
      <c r="D2" s="3" t="s">
        <v>16</v>
      </c>
      <c r="E2" s="3" t="s">
        <v>17</v>
      </c>
      <c r="F2" s="4" t="s">
        <v>18</v>
      </c>
      <c r="G2" s="5" t="s">
        <v>19</v>
      </c>
      <c r="H2" s="6" t="s">
        <v>20</v>
      </c>
      <c r="I2" s="6" t="s">
        <v>21</v>
      </c>
      <c r="J2" s="6" t="s">
        <v>22</v>
      </c>
      <c r="K2" s="3" t="n">
        <v>3</v>
      </c>
      <c r="L2" s="3"/>
      <c r="M2" s="3"/>
      <c r="N2" s="4" t="s">
        <v>23</v>
      </c>
      <c r="O2" s="6"/>
    </row>
    <row r="3" customFormat="false" ht="15" hidden="false" customHeight="false" outlineLevel="0" collapsed="false">
      <c r="A3" s="3" t="n">
        <v>2</v>
      </c>
      <c r="B3" s="3" t="s">
        <v>24</v>
      </c>
      <c r="C3" s="3" t="n">
        <v>1</v>
      </c>
      <c r="D3" s="3" t="s">
        <v>16</v>
      </c>
      <c r="E3" s="3" t="s">
        <v>17</v>
      </c>
      <c r="F3" s="4" t="s">
        <v>18</v>
      </c>
      <c r="G3" s="5" t="s">
        <v>25</v>
      </c>
      <c r="H3" s="6" t="s">
        <v>26</v>
      </c>
      <c r="I3" s="6" t="s">
        <v>27</v>
      </c>
      <c r="J3" s="6" t="s">
        <v>28</v>
      </c>
      <c r="K3" s="3" t="n">
        <v>1</v>
      </c>
      <c r="L3" s="3"/>
      <c r="M3" s="3"/>
      <c r="N3" s="4" t="s">
        <v>23</v>
      </c>
      <c r="O3" s="6"/>
    </row>
    <row r="4" customFormat="false" ht="15" hidden="false" customHeight="false" outlineLevel="0" collapsed="false">
      <c r="A4" s="3" t="n">
        <v>3</v>
      </c>
      <c r="B4" s="3" t="s">
        <v>29</v>
      </c>
      <c r="C4" s="3" t="n">
        <v>1</v>
      </c>
      <c r="D4" s="3" t="s">
        <v>16</v>
      </c>
      <c r="E4" s="3" t="s">
        <v>17</v>
      </c>
      <c r="F4" s="4" t="s">
        <v>18</v>
      </c>
      <c r="G4" s="5" t="s">
        <v>30</v>
      </c>
      <c r="H4" s="6" t="s">
        <v>26</v>
      </c>
      <c r="I4" s="6" t="s">
        <v>31</v>
      </c>
      <c r="J4" s="6" t="s">
        <v>32</v>
      </c>
      <c r="K4" s="3" t="n">
        <v>4</v>
      </c>
      <c r="L4" s="3"/>
      <c r="M4" s="3"/>
      <c r="N4" s="4" t="s">
        <v>23</v>
      </c>
      <c r="O4" s="6"/>
    </row>
    <row r="5" customFormat="false" ht="15" hidden="false" customHeight="false" outlineLevel="0" collapsed="false">
      <c r="A5" s="3" t="n">
        <v>4</v>
      </c>
      <c r="B5" s="3" t="s">
        <v>33</v>
      </c>
      <c r="C5" s="3" t="n">
        <v>1</v>
      </c>
      <c r="D5" s="3" t="s">
        <v>16</v>
      </c>
      <c r="E5" s="3" t="s">
        <v>17</v>
      </c>
      <c r="F5" s="4" t="s">
        <v>18</v>
      </c>
      <c r="G5" s="5" t="s">
        <v>21</v>
      </c>
      <c r="H5" s="6" t="s">
        <v>34</v>
      </c>
      <c r="I5" s="6" t="s">
        <v>35</v>
      </c>
      <c r="J5" s="6" t="s">
        <v>26</v>
      </c>
      <c r="K5" s="3" t="n">
        <v>2</v>
      </c>
      <c r="L5" s="3"/>
      <c r="M5" s="3"/>
      <c r="N5" s="4" t="s">
        <v>23</v>
      </c>
      <c r="O5" s="6"/>
    </row>
    <row r="6" customFormat="false" ht="15" hidden="false" customHeight="false" outlineLevel="0" collapsed="false">
      <c r="A6" s="3" t="n">
        <v>5</v>
      </c>
      <c r="B6" s="3" t="s">
        <v>36</v>
      </c>
      <c r="C6" s="3" t="n">
        <v>1</v>
      </c>
      <c r="D6" s="3" t="s">
        <v>16</v>
      </c>
      <c r="E6" s="3" t="s">
        <v>17</v>
      </c>
      <c r="F6" s="4" t="s">
        <v>18</v>
      </c>
      <c r="G6" s="5" t="s">
        <v>34</v>
      </c>
      <c r="H6" s="6" t="s">
        <v>37</v>
      </c>
      <c r="I6" s="6" t="s">
        <v>38</v>
      </c>
      <c r="J6" s="6" t="s">
        <v>39</v>
      </c>
      <c r="K6" s="3" t="n">
        <v>1</v>
      </c>
      <c r="L6" s="3"/>
      <c r="M6" s="3"/>
      <c r="N6" s="4" t="s">
        <v>23</v>
      </c>
      <c r="O6" s="6"/>
    </row>
    <row r="7" customFormat="false" ht="15" hidden="false" customHeight="false" outlineLevel="0" collapsed="false">
      <c r="A7" s="3" t="n">
        <v>6</v>
      </c>
      <c r="B7" s="3" t="s">
        <v>40</v>
      </c>
      <c r="C7" s="3" t="n">
        <v>1</v>
      </c>
      <c r="D7" s="3" t="s">
        <v>16</v>
      </c>
      <c r="E7" s="3" t="s">
        <v>17</v>
      </c>
      <c r="F7" s="4" t="s">
        <v>18</v>
      </c>
      <c r="G7" s="5" t="s">
        <v>41</v>
      </c>
      <c r="H7" s="6" t="s">
        <v>42</v>
      </c>
      <c r="I7" s="6" t="s">
        <v>43</v>
      </c>
      <c r="J7" s="6" t="s">
        <v>44</v>
      </c>
      <c r="K7" s="3" t="n">
        <v>4</v>
      </c>
      <c r="L7" s="3"/>
      <c r="M7" s="3"/>
      <c r="N7" s="4" t="s">
        <v>23</v>
      </c>
      <c r="O7" s="6"/>
    </row>
    <row r="8" customFormat="false" ht="15" hidden="false" customHeight="false" outlineLevel="0" collapsed="false">
      <c r="A8" s="3" t="n">
        <v>7</v>
      </c>
      <c r="B8" s="3" t="s">
        <v>45</v>
      </c>
      <c r="C8" s="3" t="n">
        <v>1</v>
      </c>
      <c r="D8" s="3" t="s">
        <v>16</v>
      </c>
      <c r="E8" s="3" t="s">
        <v>17</v>
      </c>
      <c r="F8" s="4" t="s">
        <v>18</v>
      </c>
      <c r="G8" s="5" t="s">
        <v>39</v>
      </c>
      <c r="H8" s="6" t="s">
        <v>46</v>
      </c>
      <c r="I8" s="6" t="s">
        <v>47</v>
      </c>
      <c r="J8" s="6" t="s">
        <v>48</v>
      </c>
      <c r="K8" s="3" t="n">
        <v>2</v>
      </c>
      <c r="L8" s="3"/>
      <c r="M8" s="3"/>
      <c r="N8" s="4" t="s">
        <v>23</v>
      </c>
      <c r="O8" s="6"/>
    </row>
    <row r="9" customFormat="false" ht="15" hidden="false" customHeight="false" outlineLevel="0" collapsed="false">
      <c r="A9" s="3" t="n">
        <v>8</v>
      </c>
      <c r="B9" s="3" t="s">
        <v>49</v>
      </c>
      <c r="C9" s="3" t="n">
        <v>1</v>
      </c>
      <c r="D9" s="3" t="s">
        <v>16</v>
      </c>
      <c r="E9" s="3" t="s">
        <v>17</v>
      </c>
      <c r="F9" s="4" t="s">
        <v>18</v>
      </c>
      <c r="G9" s="5" t="s">
        <v>44</v>
      </c>
      <c r="H9" s="6" t="s">
        <v>50</v>
      </c>
      <c r="I9" s="6" t="s">
        <v>51</v>
      </c>
      <c r="J9" s="6" t="s">
        <v>52</v>
      </c>
      <c r="K9" s="3" t="n">
        <v>3</v>
      </c>
      <c r="L9" s="3"/>
      <c r="M9" s="3"/>
      <c r="N9" s="4" t="s">
        <v>23</v>
      </c>
      <c r="O9" s="6"/>
    </row>
    <row r="10" customFormat="false" ht="15" hidden="false" customHeight="false" outlineLevel="0" collapsed="false">
      <c r="A10" s="3" t="n">
        <v>9</v>
      </c>
      <c r="B10" s="3" t="s">
        <v>53</v>
      </c>
      <c r="C10" s="3" t="n">
        <v>1</v>
      </c>
      <c r="D10" s="3" t="s">
        <v>16</v>
      </c>
      <c r="E10" s="3" t="s">
        <v>17</v>
      </c>
      <c r="F10" s="4" t="s">
        <v>18</v>
      </c>
      <c r="G10" s="5" t="s">
        <v>54</v>
      </c>
      <c r="H10" s="6" t="s">
        <v>55</v>
      </c>
      <c r="I10" s="6" t="s">
        <v>56</v>
      </c>
      <c r="J10" s="6" t="s">
        <v>57</v>
      </c>
      <c r="K10" s="3" t="n">
        <v>4</v>
      </c>
      <c r="L10" s="3"/>
      <c r="M10" s="3"/>
      <c r="N10" s="4" t="s">
        <v>23</v>
      </c>
      <c r="O10" s="6"/>
    </row>
    <row r="11" customFormat="false" ht="15" hidden="false" customHeight="false" outlineLevel="0" collapsed="false">
      <c r="A11" s="3" t="n">
        <v>10</v>
      </c>
      <c r="B11" s="3" t="s">
        <v>58</v>
      </c>
      <c r="C11" s="3" t="n">
        <v>1</v>
      </c>
      <c r="D11" s="3" t="s">
        <v>16</v>
      </c>
      <c r="E11" s="3" t="s">
        <v>17</v>
      </c>
      <c r="F11" s="4" t="s">
        <v>18</v>
      </c>
      <c r="G11" s="5" t="s">
        <v>59</v>
      </c>
      <c r="H11" s="6" t="s">
        <v>60</v>
      </c>
      <c r="I11" s="6" t="s">
        <v>61</v>
      </c>
      <c r="J11" s="6" t="s">
        <v>62</v>
      </c>
      <c r="K11" s="3" t="n">
        <v>2</v>
      </c>
      <c r="L11" s="3"/>
      <c r="M11" s="3"/>
      <c r="N11" s="4" t="s">
        <v>23</v>
      </c>
      <c r="O11" s="6"/>
    </row>
    <row r="12" customFormat="false" ht="15" hidden="false" customHeight="false" outlineLevel="0" collapsed="false">
      <c r="A12" s="3" t="n">
        <v>11</v>
      </c>
      <c r="B12" s="3" t="s">
        <v>63</v>
      </c>
      <c r="C12" s="3" t="n">
        <v>1</v>
      </c>
      <c r="D12" s="3" t="s">
        <v>16</v>
      </c>
      <c r="E12" s="3" t="s">
        <v>17</v>
      </c>
      <c r="F12" s="4" t="s">
        <v>18</v>
      </c>
      <c r="G12" s="5" t="s">
        <v>22</v>
      </c>
      <c r="H12" s="6" t="s">
        <v>64</v>
      </c>
      <c r="I12" s="6" t="s">
        <v>65</v>
      </c>
      <c r="J12" s="6" t="s">
        <v>66</v>
      </c>
      <c r="K12" s="3" t="n">
        <v>3</v>
      </c>
      <c r="L12" s="3"/>
      <c r="M12" s="3"/>
      <c r="N12" s="4" t="s">
        <v>23</v>
      </c>
      <c r="O12" s="6"/>
    </row>
    <row r="13" customFormat="false" ht="15" hidden="false" customHeight="false" outlineLevel="0" collapsed="false">
      <c r="A13" s="3" t="n">
        <v>12</v>
      </c>
      <c r="B13" s="3" t="s">
        <v>67</v>
      </c>
      <c r="C13" s="3" t="n">
        <v>1</v>
      </c>
      <c r="D13" s="3" t="s">
        <v>16</v>
      </c>
      <c r="E13" s="3" t="s">
        <v>17</v>
      </c>
      <c r="F13" s="4" t="s">
        <v>18</v>
      </c>
      <c r="G13" s="5" t="s">
        <v>28</v>
      </c>
      <c r="H13" s="6" t="s">
        <v>57</v>
      </c>
      <c r="I13" s="6" t="s">
        <v>30</v>
      </c>
      <c r="J13" s="6" t="s">
        <v>68</v>
      </c>
      <c r="K13" s="3" t="n">
        <v>1</v>
      </c>
      <c r="L13" s="3"/>
      <c r="M13" s="3"/>
      <c r="N13" s="4" t="s">
        <v>23</v>
      </c>
      <c r="O13" s="6"/>
    </row>
    <row r="14" customFormat="false" ht="15" hidden="false" customHeight="false" outlineLevel="0" collapsed="false">
      <c r="A14" s="3" t="n">
        <v>13</v>
      </c>
      <c r="B14" s="3" t="s">
        <v>69</v>
      </c>
      <c r="C14" s="3" t="n">
        <v>1</v>
      </c>
      <c r="D14" s="3" t="s">
        <v>16</v>
      </c>
      <c r="E14" s="3" t="s">
        <v>17</v>
      </c>
      <c r="F14" s="4" t="s">
        <v>18</v>
      </c>
      <c r="G14" s="5" t="s">
        <v>62</v>
      </c>
      <c r="H14" s="6" t="s">
        <v>70</v>
      </c>
      <c r="I14" s="6" t="s">
        <v>71</v>
      </c>
      <c r="J14" s="6" t="s">
        <v>26</v>
      </c>
      <c r="K14" s="3" t="n">
        <v>2</v>
      </c>
      <c r="L14" s="3"/>
      <c r="M14" s="3"/>
      <c r="N14" s="4" t="s">
        <v>23</v>
      </c>
      <c r="O14" s="6"/>
    </row>
    <row r="15" customFormat="false" ht="15" hidden="false" customHeight="false" outlineLevel="0" collapsed="false">
      <c r="A15" s="3" t="n">
        <v>14</v>
      </c>
      <c r="B15" s="3" t="s">
        <v>72</v>
      </c>
      <c r="C15" s="3" t="n">
        <v>1</v>
      </c>
      <c r="D15" s="3" t="s">
        <v>16</v>
      </c>
      <c r="E15" s="3" t="s">
        <v>17</v>
      </c>
      <c r="F15" s="4" t="s">
        <v>18</v>
      </c>
      <c r="G15" s="5" t="s">
        <v>26</v>
      </c>
      <c r="H15" s="6" t="s">
        <v>25</v>
      </c>
      <c r="I15" s="6" t="s">
        <v>42</v>
      </c>
      <c r="J15" s="6" t="s">
        <v>73</v>
      </c>
      <c r="K15" s="3" t="n">
        <v>3</v>
      </c>
      <c r="L15" s="3"/>
      <c r="M15" s="3"/>
      <c r="N15" s="4" t="s">
        <v>23</v>
      </c>
      <c r="O15" s="6"/>
    </row>
    <row r="16" customFormat="false" ht="15" hidden="false" customHeight="false" outlineLevel="0" collapsed="false">
      <c r="A16" s="3" t="n">
        <v>15</v>
      </c>
      <c r="B16" s="3" t="s">
        <v>74</v>
      </c>
      <c r="C16" s="3" t="n">
        <v>1</v>
      </c>
      <c r="D16" s="3" t="s">
        <v>16</v>
      </c>
      <c r="E16" s="3" t="s">
        <v>17</v>
      </c>
      <c r="F16" s="4" t="s">
        <v>18</v>
      </c>
      <c r="G16" s="5" t="s">
        <v>75</v>
      </c>
      <c r="H16" s="6" t="s">
        <v>76</v>
      </c>
      <c r="I16" s="6" t="s">
        <v>77</v>
      </c>
      <c r="J16" s="6" t="s">
        <v>78</v>
      </c>
      <c r="K16" s="3" t="n">
        <v>1</v>
      </c>
      <c r="L16" s="3"/>
      <c r="M16" s="3"/>
      <c r="N16" s="4" t="s">
        <v>23</v>
      </c>
      <c r="O16" s="6"/>
    </row>
    <row r="17" customFormat="false" ht="15" hidden="false" customHeight="false" outlineLevel="0" collapsed="false">
      <c r="A17" s="3" t="n">
        <v>16</v>
      </c>
      <c r="B17" s="3" t="s">
        <v>79</v>
      </c>
      <c r="C17" s="3" t="n">
        <v>1</v>
      </c>
      <c r="D17" s="3" t="s">
        <v>16</v>
      </c>
      <c r="E17" s="3" t="s">
        <v>17</v>
      </c>
      <c r="F17" s="4" t="s">
        <v>80</v>
      </c>
      <c r="G17" s="5" t="s">
        <v>81</v>
      </c>
      <c r="H17" s="6" t="s">
        <v>82</v>
      </c>
      <c r="I17" s="6" t="s">
        <v>83</v>
      </c>
      <c r="J17" s="6" t="s">
        <v>84</v>
      </c>
      <c r="K17" s="3" t="n">
        <v>4</v>
      </c>
      <c r="L17" s="3"/>
      <c r="M17" s="3"/>
      <c r="N17" s="4" t="s">
        <v>23</v>
      </c>
      <c r="O17" s="6"/>
    </row>
    <row r="18" customFormat="false" ht="15" hidden="false" customHeight="false" outlineLevel="0" collapsed="false">
      <c r="A18" s="3" t="n">
        <v>17</v>
      </c>
      <c r="B18" s="3" t="s">
        <v>85</v>
      </c>
      <c r="C18" s="3" t="n">
        <v>1</v>
      </c>
      <c r="D18" s="3" t="s">
        <v>16</v>
      </c>
      <c r="E18" s="3" t="s">
        <v>17</v>
      </c>
      <c r="F18" s="4" t="s">
        <v>80</v>
      </c>
      <c r="G18" s="5" t="s">
        <v>84</v>
      </c>
      <c r="H18" s="6" t="s">
        <v>86</v>
      </c>
      <c r="I18" s="6" t="s">
        <v>87</v>
      </c>
      <c r="J18" s="6" t="s">
        <v>88</v>
      </c>
      <c r="K18" s="3" t="n">
        <v>3</v>
      </c>
      <c r="L18" s="3"/>
      <c r="M18" s="3"/>
      <c r="N18" s="4" t="s">
        <v>23</v>
      </c>
      <c r="O18" s="6"/>
    </row>
    <row r="19" customFormat="false" ht="15" hidden="false" customHeight="false" outlineLevel="0" collapsed="false">
      <c r="A19" s="3" t="n">
        <v>18</v>
      </c>
      <c r="B19" s="3" t="s">
        <v>89</v>
      </c>
      <c r="C19" s="3" t="n">
        <v>1</v>
      </c>
      <c r="D19" s="3" t="s">
        <v>16</v>
      </c>
      <c r="E19" s="3" t="s">
        <v>17</v>
      </c>
      <c r="F19" s="4" t="s">
        <v>80</v>
      </c>
      <c r="G19" s="5" t="s">
        <v>90</v>
      </c>
      <c r="H19" s="6" t="s">
        <v>91</v>
      </c>
      <c r="I19" s="6" t="s">
        <v>92</v>
      </c>
      <c r="J19" s="6" t="s">
        <v>93</v>
      </c>
      <c r="K19" s="3" t="n">
        <v>1</v>
      </c>
      <c r="L19" s="3"/>
      <c r="M19" s="3"/>
      <c r="N19" s="4" t="s">
        <v>23</v>
      </c>
      <c r="O19" s="6"/>
    </row>
    <row r="20" customFormat="false" ht="15" hidden="false" customHeight="false" outlineLevel="0" collapsed="false">
      <c r="A20" s="3" t="n">
        <v>19</v>
      </c>
      <c r="B20" s="3" t="s">
        <v>94</v>
      </c>
      <c r="C20" s="3" t="n">
        <v>1</v>
      </c>
      <c r="D20" s="3" t="s">
        <v>16</v>
      </c>
      <c r="E20" s="3" t="s">
        <v>17</v>
      </c>
      <c r="F20" s="4" t="s">
        <v>80</v>
      </c>
      <c r="G20" s="5" t="s">
        <v>91</v>
      </c>
      <c r="H20" s="6" t="s">
        <v>90</v>
      </c>
      <c r="I20" s="6" t="s">
        <v>95</v>
      </c>
      <c r="J20" s="6" t="s">
        <v>81</v>
      </c>
      <c r="K20" s="3" t="n">
        <v>4</v>
      </c>
      <c r="L20" s="3"/>
      <c r="M20" s="3"/>
      <c r="N20" s="4" t="s">
        <v>23</v>
      </c>
      <c r="O20" s="6"/>
    </row>
    <row r="21" customFormat="false" ht="15" hidden="false" customHeight="false" outlineLevel="0" collapsed="false">
      <c r="A21" s="3" t="n">
        <v>20</v>
      </c>
      <c r="B21" s="3" t="s">
        <v>96</v>
      </c>
      <c r="C21" s="3" t="n">
        <v>1</v>
      </c>
      <c r="D21" s="3" t="s">
        <v>16</v>
      </c>
      <c r="E21" s="3" t="s">
        <v>17</v>
      </c>
      <c r="F21" s="4" t="s">
        <v>80</v>
      </c>
      <c r="G21" s="5" t="s">
        <v>83</v>
      </c>
      <c r="H21" s="6" t="s">
        <v>97</v>
      </c>
      <c r="I21" s="6" t="s">
        <v>98</v>
      </c>
      <c r="J21" s="6" t="s">
        <v>88</v>
      </c>
      <c r="K21" s="3" t="n">
        <v>2</v>
      </c>
      <c r="L21" s="3"/>
      <c r="M21" s="3"/>
      <c r="N21" s="4" t="s">
        <v>23</v>
      </c>
      <c r="O21" s="6"/>
    </row>
    <row r="22" customFormat="false" ht="15" hidden="false" customHeight="false" outlineLevel="0" collapsed="false">
      <c r="A22" s="3" t="n">
        <v>21</v>
      </c>
      <c r="B22" s="3" t="s">
        <v>99</v>
      </c>
      <c r="C22" s="3" t="n">
        <v>1</v>
      </c>
      <c r="D22" s="3" t="s">
        <v>16</v>
      </c>
      <c r="E22" s="3" t="s">
        <v>17</v>
      </c>
      <c r="F22" s="4" t="s">
        <v>80</v>
      </c>
      <c r="G22" s="5" t="s">
        <v>88</v>
      </c>
      <c r="H22" s="6" t="s">
        <v>100</v>
      </c>
      <c r="I22" s="6" t="s">
        <v>101</v>
      </c>
      <c r="J22" s="6" t="s">
        <v>81</v>
      </c>
      <c r="K22" s="3" t="n">
        <v>1</v>
      </c>
      <c r="L22" s="3"/>
      <c r="M22" s="3"/>
      <c r="N22" s="4" t="s">
        <v>23</v>
      </c>
      <c r="O22" s="6"/>
    </row>
    <row r="23" customFormat="false" ht="15" hidden="false" customHeight="false" outlineLevel="0" collapsed="false">
      <c r="A23" s="3" t="n">
        <v>22</v>
      </c>
      <c r="B23" s="3" t="s">
        <v>102</v>
      </c>
      <c r="C23" s="3" t="n">
        <v>1</v>
      </c>
      <c r="D23" s="3" t="s">
        <v>16</v>
      </c>
      <c r="E23" s="3" t="s">
        <v>17</v>
      </c>
      <c r="F23" s="4" t="s">
        <v>80</v>
      </c>
      <c r="G23" s="5" t="s">
        <v>86</v>
      </c>
      <c r="H23" s="6" t="s">
        <v>84</v>
      </c>
      <c r="I23" s="6" t="s">
        <v>103</v>
      </c>
      <c r="J23" s="6" t="s">
        <v>83</v>
      </c>
      <c r="K23" s="3" t="n">
        <v>4</v>
      </c>
      <c r="L23" s="3"/>
      <c r="M23" s="3"/>
      <c r="N23" s="4" t="s">
        <v>23</v>
      </c>
      <c r="O23" s="6"/>
    </row>
    <row r="24" customFormat="false" ht="15" hidden="false" customHeight="false" outlineLevel="0" collapsed="false">
      <c r="A24" s="3" t="n">
        <v>23</v>
      </c>
      <c r="B24" s="3" t="s">
        <v>104</v>
      </c>
      <c r="C24" s="3" t="n">
        <v>1</v>
      </c>
      <c r="D24" s="3" t="s">
        <v>16</v>
      </c>
      <c r="E24" s="3" t="s">
        <v>17</v>
      </c>
      <c r="F24" s="4" t="s">
        <v>80</v>
      </c>
      <c r="G24" s="5" t="s">
        <v>105</v>
      </c>
      <c r="H24" s="6" t="s">
        <v>93</v>
      </c>
      <c r="I24" s="6" t="s">
        <v>106</v>
      </c>
      <c r="J24" s="6" t="s">
        <v>84</v>
      </c>
      <c r="K24" s="3" t="n">
        <v>2</v>
      </c>
      <c r="L24" s="3"/>
      <c r="M24" s="3"/>
      <c r="N24" s="4" t="s">
        <v>23</v>
      </c>
      <c r="O24" s="6"/>
    </row>
    <row r="25" customFormat="false" ht="15" hidden="false" customHeight="false" outlineLevel="0" collapsed="false">
      <c r="A25" s="3" t="n">
        <v>24</v>
      </c>
      <c r="B25" s="3" t="s">
        <v>107</v>
      </c>
      <c r="C25" s="3" t="n">
        <v>1</v>
      </c>
      <c r="D25" s="3" t="s">
        <v>16</v>
      </c>
      <c r="E25" s="3" t="s">
        <v>17</v>
      </c>
      <c r="F25" s="4" t="s">
        <v>80</v>
      </c>
      <c r="G25" s="5" t="s">
        <v>108</v>
      </c>
      <c r="H25" s="6" t="s">
        <v>109</v>
      </c>
      <c r="I25" s="6" t="s">
        <v>110</v>
      </c>
      <c r="J25" s="6" t="s">
        <v>111</v>
      </c>
      <c r="K25" s="3" t="n">
        <v>3</v>
      </c>
      <c r="L25" s="3"/>
      <c r="M25" s="3"/>
      <c r="N25" s="4" t="s">
        <v>23</v>
      </c>
      <c r="O25" s="6"/>
    </row>
    <row r="26" customFormat="false" ht="15" hidden="false" customHeight="false" outlineLevel="0" collapsed="false">
      <c r="A26" s="3" t="n">
        <v>25</v>
      </c>
      <c r="B26" s="3" t="s">
        <v>112</v>
      </c>
      <c r="C26" s="3" t="n">
        <v>1</v>
      </c>
      <c r="D26" s="3" t="s">
        <v>16</v>
      </c>
      <c r="E26" s="3" t="s">
        <v>17</v>
      </c>
      <c r="F26" s="4" t="s">
        <v>80</v>
      </c>
      <c r="G26" s="5" t="s">
        <v>113</v>
      </c>
      <c r="H26" s="6" t="s">
        <v>114</v>
      </c>
      <c r="I26" s="6" t="s">
        <v>115</v>
      </c>
      <c r="J26" s="6" t="s">
        <v>84</v>
      </c>
      <c r="K26" s="3" t="n">
        <v>4</v>
      </c>
      <c r="L26" s="3"/>
      <c r="M26" s="3"/>
      <c r="N26" s="4" t="s">
        <v>23</v>
      </c>
      <c r="O26" s="6"/>
    </row>
    <row r="27" customFormat="false" ht="15" hidden="false" customHeight="false" outlineLevel="0" collapsed="false">
      <c r="A27" s="3" t="n">
        <v>26</v>
      </c>
      <c r="B27" s="3" t="s">
        <v>116</v>
      </c>
      <c r="C27" s="3" t="n">
        <v>1</v>
      </c>
      <c r="D27" s="3" t="s">
        <v>16</v>
      </c>
      <c r="E27" s="3" t="s">
        <v>17</v>
      </c>
      <c r="F27" s="4" t="s">
        <v>117</v>
      </c>
      <c r="G27" s="5" t="s">
        <v>118</v>
      </c>
      <c r="H27" s="6" t="s">
        <v>119</v>
      </c>
      <c r="I27" s="6" t="s">
        <v>120</v>
      </c>
      <c r="J27" s="6" t="s">
        <v>121</v>
      </c>
      <c r="K27" s="3" t="n">
        <v>2</v>
      </c>
      <c r="L27" s="3"/>
      <c r="M27" s="3"/>
      <c r="N27" s="4" t="s">
        <v>23</v>
      </c>
      <c r="O27" s="6"/>
    </row>
    <row r="28" customFormat="false" ht="15" hidden="false" customHeight="false" outlineLevel="0" collapsed="false">
      <c r="A28" s="3" t="n">
        <v>27</v>
      </c>
      <c r="B28" s="3" t="s">
        <v>122</v>
      </c>
      <c r="C28" s="3" t="n">
        <v>1</v>
      </c>
      <c r="D28" s="3" t="s">
        <v>16</v>
      </c>
      <c r="E28" s="3" t="s">
        <v>17</v>
      </c>
      <c r="F28" s="4" t="s">
        <v>117</v>
      </c>
      <c r="G28" s="5" t="s">
        <v>123</v>
      </c>
      <c r="H28" s="6" t="s">
        <v>124</v>
      </c>
      <c r="I28" s="6" t="s">
        <v>121</v>
      </c>
      <c r="J28" s="6" t="s">
        <v>118</v>
      </c>
      <c r="K28" s="3" t="n">
        <v>3</v>
      </c>
      <c r="L28" s="3"/>
      <c r="M28" s="3"/>
      <c r="N28" s="4" t="s">
        <v>23</v>
      </c>
      <c r="O28" s="6"/>
    </row>
    <row r="29" customFormat="false" ht="15" hidden="false" customHeight="false" outlineLevel="0" collapsed="false">
      <c r="A29" s="3" t="n">
        <v>28</v>
      </c>
      <c r="B29" s="3" t="s">
        <v>125</v>
      </c>
      <c r="C29" s="3" t="n">
        <v>1</v>
      </c>
      <c r="D29" s="3" t="s">
        <v>16</v>
      </c>
      <c r="E29" s="3" t="s">
        <v>17</v>
      </c>
      <c r="F29" s="4" t="s">
        <v>117</v>
      </c>
      <c r="G29" s="5" t="s">
        <v>126</v>
      </c>
      <c r="H29" s="6" t="s">
        <v>127</v>
      </c>
      <c r="I29" s="6" t="s">
        <v>128</v>
      </c>
      <c r="J29" s="6" t="s">
        <v>119</v>
      </c>
      <c r="K29" s="3" t="n">
        <v>1</v>
      </c>
      <c r="L29" s="3"/>
      <c r="M29" s="3"/>
      <c r="N29" s="4" t="s">
        <v>23</v>
      </c>
      <c r="O29" s="6"/>
    </row>
    <row r="30" customFormat="false" ht="15" hidden="false" customHeight="false" outlineLevel="0" collapsed="false">
      <c r="A30" s="7" t="n">
        <v>29</v>
      </c>
      <c r="B30" s="7" t="s">
        <v>129</v>
      </c>
      <c r="C30" s="7" t="n">
        <v>1</v>
      </c>
      <c r="D30" s="7" t="s">
        <v>130</v>
      </c>
      <c r="E30" s="7" t="s">
        <v>131</v>
      </c>
      <c r="F30" s="8" t="s">
        <v>18</v>
      </c>
      <c r="G30" s="9" t="s">
        <v>132</v>
      </c>
      <c r="H30" s="10" t="s">
        <v>133</v>
      </c>
      <c r="I30" s="10" t="s">
        <v>134</v>
      </c>
      <c r="J30" s="10" t="s">
        <v>30</v>
      </c>
      <c r="K30" s="7" t="n">
        <v>2</v>
      </c>
      <c r="L30" s="7"/>
      <c r="M30" s="7"/>
      <c r="N30" s="8" t="s">
        <v>23</v>
      </c>
      <c r="O30" s="10"/>
    </row>
    <row r="31" customFormat="false" ht="15" hidden="false" customHeight="false" outlineLevel="0" collapsed="false">
      <c r="A31" s="7" t="n">
        <v>30</v>
      </c>
      <c r="B31" s="7" t="s">
        <v>135</v>
      </c>
      <c r="C31" s="7" t="n">
        <v>1</v>
      </c>
      <c r="D31" s="7" t="s">
        <v>130</v>
      </c>
      <c r="E31" s="7" t="s">
        <v>131</v>
      </c>
      <c r="F31" s="8" t="s">
        <v>18</v>
      </c>
      <c r="G31" s="9" t="s">
        <v>136</v>
      </c>
      <c r="H31" s="10" t="s">
        <v>137</v>
      </c>
      <c r="I31" s="10" t="s">
        <v>138</v>
      </c>
      <c r="J31" s="10" t="s">
        <v>139</v>
      </c>
      <c r="K31" s="7" t="n">
        <v>3</v>
      </c>
      <c r="L31" s="7"/>
      <c r="M31" s="7"/>
      <c r="N31" s="8" t="s">
        <v>23</v>
      </c>
      <c r="O31" s="10"/>
    </row>
    <row r="32" customFormat="false" ht="15" hidden="false" customHeight="false" outlineLevel="0" collapsed="false">
      <c r="A32" s="7" t="n">
        <v>31</v>
      </c>
      <c r="B32" s="7" t="s">
        <v>140</v>
      </c>
      <c r="C32" s="7" t="n">
        <v>1</v>
      </c>
      <c r="D32" s="7" t="s">
        <v>130</v>
      </c>
      <c r="E32" s="7" t="s">
        <v>131</v>
      </c>
      <c r="F32" s="8" t="s">
        <v>18</v>
      </c>
      <c r="G32" s="9" t="s">
        <v>141</v>
      </c>
      <c r="H32" s="10" t="s">
        <v>142</v>
      </c>
      <c r="I32" s="10" t="s">
        <v>143</v>
      </c>
      <c r="J32" s="10" t="s">
        <v>144</v>
      </c>
      <c r="K32" s="7" t="n">
        <v>1</v>
      </c>
      <c r="L32" s="7"/>
      <c r="M32" s="7"/>
      <c r="N32" s="8" t="s">
        <v>23</v>
      </c>
      <c r="O32" s="10"/>
    </row>
    <row r="33" customFormat="false" ht="15" hidden="false" customHeight="false" outlineLevel="0" collapsed="false">
      <c r="A33" s="7" t="n">
        <v>32</v>
      </c>
      <c r="B33" s="7" t="s">
        <v>145</v>
      </c>
      <c r="C33" s="7" t="n">
        <v>1</v>
      </c>
      <c r="D33" s="7" t="s">
        <v>130</v>
      </c>
      <c r="E33" s="7" t="s">
        <v>131</v>
      </c>
      <c r="F33" s="8" t="s">
        <v>18</v>
      </c>
      <c r="G33" s="9" t="s">
        <v>139</v>
      </c>
      <c r="H33" s="10" t="s">
        <v>146</v>
      </c>
      <c r="I33" s="10" t="s">
        <v>147</v>
      </c>
      <c r="J33" s="10" t="s">
        <v>148</v>
      </c>
      <c r="K33" s="7" t="n">
        <v>4</v>
      </c>
      <c r="L33" s="7"/>
      <c r="M33" s="7"/>
      <c r="N33" s="8" t="s">
        <v>23</v>
      </c>
      <c r="O33" s="10"/>
    </row>
    <row r="34" customFormat="false" ht="15" hidden="false" customHeight="false" outlineLevel="0" collapsed="false">
      <c r="A34" s="7" t="n">
        <v>33</v>
      </c>
      <c r="B34" s="7" t="s">
        <v>149</v>
      </c>
      <c r="C34" s="7" t="n">
        <v>1</v>
      </c>
      <c r="D34" s="7" t="s">
        <v>130</v>
      </c>
      <c r="E34" s="7" t="s">
        <v>131</v>
      </c>
      <c r="F34" s="8" t="s">
        <v>18</v>
      </c>
      <c r="G34" s="9" t="s">
        <v>47</v>
      </c>
      <c r="H34" s="10" t="s">
        <v>150</v>
      </c>
      <c r="I34" s="10" t="s">
        <v>151</v>
      </c>
      <c r="J34" s="10" t="s">
        <v>52</v>
      </c>
      <c r="K34" s="7" t="n">
        <v>3</v>
      </c>
      <c r="L34" s="7"/>
      <c r="M34" s="7"/>
      <c r="N34" s="8" t="s">
        <v>23</v>
      </c>
      <c r="O34" s="10"/>
    </row>
    <row r="35" customFormat="false" ht="15" hidden="false" customHeight="false" outlineLevel="0" collapsed="false">
      <c r="A35" s="7" t="n">
        <v>34</v>
      </c>
      <c r="B35" s="7" t="s">
        <v>152</v>
      </c>
      <c r="C35" s="7" t="n">
        <v>1</v>
      </c>
      <c r="D35" s="7" t="s">
        <v>130</v>
      </c>
      <c r="E35" s="7" t="s">
        <v>131</v>
      </c>
      <c r="F35" s="8" t="s">
        <v>18</v>
      </c>
      <c r="G35" s="9" t="s">
        <v>153</v>
      </c>
      <c r="H35" s="10" t="s">
        <v>154</v>
      </c>
      <c r="I35" s="10" t="s">
        <v>155</v>
      </c>
      <c r="J35" s="10" t="s">
        <v>156</v>
      </c>
      <c r="K35" s="7" t="n">
        <v>1</v>
      </c>
      <c r="L35" s="7"/>
      <c r="M35" s="7"/>
      <c r="N35" s="8" t="s">
        <v>23</v>
      </c>
      <c r="O35" s="10"/>
    </row>
    <row r="36" customFormat="false" ht="15" hidden="false" customHeight="false" outlineLevel="0" collapsed="false">
      <c r="A36" s="7" t="n">
        <v>35</v>
      </c>
      <c r="B36" s="7" t="s">
        <v>157</v>
      </c>
      <c r="C36" s="7" t="n">
        <v>1</v>
      </c>
      <c r="D36" s="7" t="s">
        <v>130</v>
      </c>
      <c r="E36" s="7" t="s">
        <v>131</v>
      </c>
      <c r="F36" s="8" t="s">
        <v>18</v>
      </c>
      <c r="G36" s="9" t="s">
        <v>158</v>
      </c>
      <c r="H36" s="10" t="s">
        <v>64</v>
      </c>
      <c r="I36" s="10" t="s">
        <v>159</v>
      </c>
      <c r="J36" s="10" t="s">
        <v>55</v>
      </c>
      <c r="K36" s="7" t="n">
        <v>4</v>
      </c>
      <c r="L36" s="7"/>
      <c r="M36" s="7"/>
      <c r="N36" s="8" t="s">
        <v>23</v>
      </c>
      <c r="O36" s="10"/>
    </row>
    <row r="37" customFormat="false" ht="15" hidden="false" customHeight="false" outlineLevel="0" collapsed="false">
      <c r="A37" s="7" t="n">
        <v>36</v>
      </c>
      <c r="B37" s="7" t="s">
        <v>160</v>
      </c>
      <c r="C37" s="7" t="n">
        <v>1</v>
      </c>
      <c r="D37" s="7" t="s">
        <v>130</v>
      </c>
      <c r="E37" s="7" t="s">
        <v>131</v>
      </c>
      <c r="F37" s="8" t="s">
        <v>18</v>
      </c>
      <c r="G37" s="9" t="s">
        <v>161</v>
      </c>
      <c r="H37" s="10" t="s">
        <v>162</v>
      </c>
      <c r="I37" s="10" t="s">
        <v>163</v>
      </c>
      <c r="J37" s="10" t="s">
        <v>164</v>
      </c>
      <c r="K37" s="7" t="n">
        <v>2</v>
      </c>
      <c r="L37" s="7"/>
      <c r="M37" s="7"/>
      <c r="N37" s="8" t="s">
        <v>23</v>
      </c>
      <c r="O37" s="10" t="s">
        <v>165</v>
      </c>
    </row>
    <row r="38" customFormat="false" ht="15" hidden="false" customHeight="false" outlineLevel="0" collapsed="false">
      <c r="A38" s="7" t="n">
        <v>37</v>
      </c>
      <c r="B38" s="7" t="s">
        <v>166</v>
      </c>
      <c r="C38" s="7" t="n">
        <v>1</v>
      </c>
      <c r="D38" s="7" t="s">
        <v>130</v>
      </c>
      <c r="E38" s="7" t="s">
        <v>131</v>
      </c>
      <c r="F38" s="8" t="s">
        <v>18</v>
      </c>
      <c r="G38" s="9" t="s">
        <v>167</v>
      </c>
      <c r="H38" s="10" t="s">
        <v>168</v>
      </c>
      <c r="I38" s="10" t="s">
        <v>34</v>
      </c>
      <c r="J38" s="10" t="s">
        <v>66</v>
      </c>
      <c r="K38" s="7" t="n">
        <v>1</v>
      </c>
      <c r="L38" s="7"/>
      <c r="M38" s="7"/>
      <c r="N38" s="8" t="s">
        <v>23</v>
      </c>
      <c r="O38" s="10"/>
    </row>
    <row r="39" customFormat="false" ht="15" hidden="false" customHeight="false" outlineLevel="0" collapsed="false">
      <c r="A39" s="7" t="n">
        <v>38</v>
      </c>
      <c r="B39" s="7" t="s">
        <v>169</v>
      </c>
      <c r="C39" s="7" t="n">
        <v>1</v>
      </c>
      <c r="D39" s="7" t="s">
        <v>130</v>
      </c>
      <c r="E39" s="7" t="s">
        <v>131</v>
      </c>
      <c r="F39" s="8" t="s">
        <v>18</v>
      </c>
      <c r="G39" s="9" t="s">
        <v>170</v>
      </c>
      <c r="H39" s="10" t="s">
        <v>171</v>
      </c>
      <c r="I39" s="10" t="s">
        <v>172</v>
      </c>
      <c r="J39" s="10" t="s">
        <v>64</v>
      </c>
      <c r="K39" s="7" t="n">
        <v>4</v>
      </c>
      <c r="L39" s="7"/>
      <c r="M39" s="7"/>
      <c r="N39" s="8" t="s">
        <v>23</v>
      </c>
      <c r="O39" s="10"/>
    </row>
    <row r="40" customFormat="false" ht="15" hidden="false" customHeight="false" outlineLevel="0" collapsed="false">
      <c r="A40" s="7" t="n">
        <v>39</v>
      </c>
      <c r="B40" s="7" t="s">
        <v>173</v>
      </c>
      <c r="C40" s="7" t="n">
        <v>1</v>
      </c>
      <c r="D40" s="7" t="s">
        <v>130</v>
      </c>
      <c r="E40" s="7" t="s">
        <v>131</v>
      </c>
      <c r="F40" s="8" t="s">
        <v>18</v>
      </c>
      <c r="G40" s="9" t="s">
        <v>174</v>
      </c>
      <c r="H40" s="10" t="s">
        <v>175</v>
      </c>
      <c r="I40" s="10" t="s">
        <v>176</v>
      </c>
      <c r="J40" s="10" t="s">
        <v>177</v>
      </c>
      <c r="K40" s="7" t="n">
        <v>2</v>
      </c>
      <c r="L40" s="7"/>
      <c r="M40" s="7"/>
      <c r="N40" s="8" t="s">
        <v>23</v>
      </c>
      <c r="O40" s="10"/>
    </row>
    <row r="41" customFormat="false" ht="15" hidden="false" customHeight="false" outlineLevel="0" collapsed="false">
      <c r="A41" s="7" t="n">
        <v>40</v>
      </c>
      <c r="B41" s="7" t="s">
        <v>178</v>
      </c>
      <c r="C41" s="7" t="n">
        <v>1</v>
      </c>
      <c r="D41" s="7" t="s">
        <v>130</v>
      </c>
      <c r="E41" s="7" t="s">
        <v>131</v>
      </c>
      <c r="F41" s="8" t="s">
        <v>18</v>
      </c>
      <c r="G41" s="9" t="s">
        <v>179</v>
      </c>
      <c r="H41" s="10" t="s">
        <v>180</v>
      </c>
      <c r="I41" s="10" t="s">
        <v>181</v>
      </c>
      <c r="J41" s="10" t="s">
        <v>41</v>
      </c>
      <c r="K41" s="7" t="n">
        <v>3</v>
      </c>
      <c r="L41" s="7"/>
      <c r="M41" s="7"/>
      <c r="N41" s="8" t="s">
        <v>23</v>
      </c>
      <c r="O41" s="10"/>
    </row>
    <row r="42" customFormat="false" ht="15" hidden="false" customHeight="false" outlineLevel="0" collapsed="false">
      <c r="A42" s="7" t="n">
        <v>41</v>
      </c>
      <c r="B42" s="7" t="s">
        <v>182</v>
      </c>
      <c r="C42" s="7" t="n">
        <v>1</v>
      </c>
      <c r="D42" s="7" t="s">
        <v>130</v>
      </c>
      <c r="E42" s="7" t="s">
        <v>131</v>
      </c>
      <c r="F42" s="8" t="s">
        <v>18</v>
      </c>
      <c r="G42" s="9" t="s">
        <v>20</v>
      </c>
      <c r="H42" s="10" t="s">
        <v>183</v>
      </c>
      <c r="I42" s="10" t="s">
        <v>184</v>
      </c>
      <c r="J42" s="10" t="s">
        <v>73</v>
      </c>
      <c r="K42" s="7" t="n">
        <v>4</v>
      </c>
      <c r="L42" s="7"/>
      <c r="M42" s="7"/>
      <c r="N42" s="8" t="s">
        <v>23</v>
      </c>
      <c r="O42" s="10"/>
    </row>
    <row r="43" customFormat="false" ht="15" hidden="false" customHeight="false" outlineLevel="0" collapsed="false">
      <c r="A43" s="7" t="n">
        <v>42</v>
      </c>
      <c r="B43" s="7" t="s">
        <v>185</v>
      </c>
      <c r="C43" s="7" t="n">
        <v>1</v>
      </c>
      <c r="D43" s="7" t="s">
        <v>130</v>
      </c>
      <c r="E43" s="7" t="s">
        <v>131</v>
      </c>
      <c r="F43" s="8" t="s">
        <v>18</v>
      </c>
      <c r="G43" s="9" t="s">
        <v>186</v>
      </c>
      <c r="H43" s="10" t="s">
        <v>68</v>
      </c>
      <c r="I43" s="10" t="s">
        <v>187</v>
      </c>
      <c r="J43" s="10" t="s">
        <v>28</v>
      </c>
      <c r="K43" s="7" t="n">
        <v>2</v>
      </c>
      <c r="L43" s="7"/>
      <c r="M43" s="7"/>
      <c r="N43" s="8" t="s">
        <v>23</v>
      </c>
      <c r="O43" s="10"/>
    </row>
    <row r="44" customFormat="false" ht="15" hidden="false" customHeight="false" outlineLevel="0" collapsed="false">
      <c r="A44" s="7" t="n">
        <v>43</v>
      </c>
      <c r="B44" s="7" t="s">
        <v>188</v>
      </c>
      <c r="C44" s="7" t="n">
        <v>1</v>
      </c>
      <c r="D44" s="7" t="s">
        <v>130</v>
      </c>
      <c r="E44" s="7" t="s">
        <v>131</v>
      </c>
      <c r="F44" s="8" t="s">
        <v>18</v>
      </c>
      <c r="G44" s="9" t="s">
        <v>189</v>
      </c>
      <c r="H44" s="10" t="s">
        <v>190</v>
      </c>
      <c r="I44" s="10" t="s">
        <v>76</v>
      </c>
      <c r="J44" s="10" t="s">
        <v>191</v>
      </c>
      <c r="K44" s="7" t="n">
        <v>3</v>
      </c>
      <c r="L44" s="7"/>
      <c r="M44" s="7"/>
      <c r="N44" s="8" t="s">
        <v>23</v>
      </c>
      <c r="O44" s="10"/>
    </row>
    <row r="45" customFormat="false" ht="15" hidden="false" customHeight="false" outlineLevel="0" collapsed="false">
      <c r="A45" s="7" t="n">
        <v>44</v>
      </c>
      <c r="B45" s="7" t="s">
        <v>192</v>
      </c>
      <c r="C45" s="7" t="n">
        <v>1</v>
      </c>
      <c r="D45" s="7" t="s">
        <v>130</v>
      </c>
      <c r="E45" s="7" t="s">
        <v>131</v>
      </c>
      <c r="F45" s="8" t="s">
        <v>18</v>
      </c>
      <c r="G45" s="9" t="s">
        <v>150</v>
      </c>
      <c r="H45" s="10" t="s">
        <v>47</v>
      </c>
      <c r="I45" s="10" t="s">
        <v>193</v>
      </c>
      <c r="J45" s="10" t="s">
        <v>133</v>
      </c>
      <c r="K45" s="7" t="n">
        <v>1</v>
      </c>
      <c r="L45" s="7"/>
      <c r="M45" s="7"/>
      <c r="N45" s="8" t="s">
        <v>23</v>
      </c>
      <c r="O45" s="10"/>
    </row>
    <row r="46" customFormat="false" ht="15" hidden="false" customHeight="false" outlineLevel="0" collapsed="false">
      <c r="A46" s="7" t="n">
        <v>45</v>
      </c>
      <c r="B46" s="7" t="s">
        <v>194</v>
      </c>
      <c r="C46" s="7" t="n">
        <v>1</v>
      </c>
      <c r="D46" s="7" t="s">
        <v>130</v>
      </c>
      <c r="E46" s="7" t="s">
        <v>131</v>
      </c>
      <c r="F46" s="8" t="s">
        <v>18</v>
      </c>
      <c r="G46" s="9" t="s">
        <v>195</v>
      </c>
      <c r="H46" s="10" t="s">
        <v>196</v>
      </c>
      <c r="I46" s="10" t="s">
        <v>197</v>
      </c>
      <c r="J46" s="10" t="s">
        <v>57</v>
      </c>
      <c r="K46" s="7" t="n">
        <v>2</v>
      </c>
      <c r="L46" s="7"/>
      <c r="M46" s="7"/>
      <c r="N46" s="8" t="s">
        <v>23</v>
      </c>
      <c r="O46" s="10"/>
    </row>
    <row r="47" customFormat="false" ht="15" hidden="false" customHeight="false" outlineLevel="0" collapsed="false">
      <c r="A47" s="7" t="n">
        <v>46</v>
      </c>
      <c r="B47" s="7" t="s">
        <v>198</v>
      </c>
      <c r="C47" s="7" t="n">
        <v>1</v>
      </c>
      <c r="D47" s="7" t="s">
        <v>130</v>
      </c>
      <c r="E47" s="7" t="s">
        <v>131</v>
      </c>
      <c r="F47" s="8" t="s">
        <v>18</v>
      </c>
      <c r="G47" s="9" t="s">
        <v>64</v>
      </c>
      <c r="H47" s="10" t="s">
        <v>22</v>
      </c>
      <c r="I47" s="10" t="s">
        <v>199</v>
      </c>
      <c r="J47" s="10" t="s">
        <v>153</v>
      </c>
      <c r="K47" s="7" t="n">
        <v>3</v>
      </c>
      <c r="L47" s="7"/>
      <c r="M47" s="7"/>
      <c r="N47" s="8" t="s">
        <v>23</v>
      </c>
      <c r="O47" s="10"/>
    </row>
    <row r="48" customFormat="false" ht="15" hidden="false" customHeight="false" outlineLevel="0" collapsed="false">
      <c r="A48" s="7" t="n">
        <v>47</v>
      </c>
      <c r="B48" s="7" t="s">
        <v>200</v>
      </c>
      <c r="C48" s="7" t="n">
        <v>1</v>
      </c>
      <c r="D48" s="7" t="s">
        <v>130</v>
      </c>
      <c r="E48" s="7" t="s">
        <v>131</v>
      </c>
      <c r="F48" s="8" t="s">
        <v>80</v>
      </c>
      <c r="G48" s="9" t="s">
        <v>201</v>
      </c>
      <c r="H48" s="10" t="s">
        <v>202</v>
      </c>
      <c r="I48" s="10" t="s">
        <v>203</v>
      </c>
      <c r="J48" s="10" t="s">
        <v>204</v>
      </c>
      <c r="K48" s="7" t="n">
        <v>1</v>
      </c>
      <c r="L48" s="7"/>
      <c r="M48" s="7"/>
      <c r="N48" s="8" t="s">
        <v>23</v>
      </c>
      <c r="O48" s="10"/>
    </row>
    <row r="49" customFormat="false" ht="15" hidden="false" customHeight="false" outlineLevel="0" collapsed="false">
      <c r="A49" s="7" t="n">
        <v>48</v>
      </c>
      <c r="B49" s="7" t="s">
        <v>205</v>
      </c>
      <c r="C49" s="7" t="n">
        <v>1</v>
      </c>
      <c r="D49" s="7" t="s">
        <v>130</v>
      </c>
      <c r="E49" s="7" t="s">
        <v>131</v>
      </c>
      <c r="F49" s="8" t="s">
        <v>80</v>
      </c>
      <c r="G49" s="9" t="s">
        <v>202</v>
      </c>
      <c r="H49" s="10" t="s">
        <v>206</v>
      </c>
      <c r="I49" s="10" t="s">
        <v>207</v>
      </c>
      <c r="J49" s="10" t="s">
        <v>208</v>
      </c>
      <c r="K49" s="7" t="n">
        <v>4</v>
      </c>
      <c r="L49" s="7"/>
      <c r="M49" s="7"/>
      <c r="N49" s="8" t="s">
        <v>23</v>
      </c>
      <c r="O49" s="10"/>
    </row>
    <row r="50" customFormat="false" ht="15" hidden="false" customHeight="false" outlineLevel="0" collapsed="false">
      <c r="A50" s="7" t="n">
        <v>49</v>
      </c>
      <c r="B50" s="7" t="s">
        <v>209</v>
      </c>
      <c r="C50" s="7" t="n">
        <v>1</v>
      </c>
      <c r="D50" s="7" t="s">
        <v>130</v>
      </c>
      <c r="E50" s="7" t="s">
        <v>131</v>
      </c>
      <c r="F50" s="8" t="s">
        <v>80</v>
      </c>
      <c r="G50" s="9" t="s">
        <v>210</v>
      </c>
      <c r="H50" s="10" t="s">
        <v>211</v>
      </c>
      <c r="I50" s="10" t="s">
        <v>212</v>
      </c>
      <c r="J50" s="10" t="s">
        <v>83</v>
      </c>
      <c r="K50" s="7" t="n">
        <v>3</v>
      </c>
      <c r="L50" s="7"/>
      <c r="M50" s="7"/>
      <c r="N50" s="8" t="s">
        <v>23</v>
      </c>
      <c r="O50" s="10"/>
    </row>
    <row r="51" customFormat="false" ht="15" hidden="false" customHeight="false" outlineLevel="0" collapsed="false">
      <c r="A51" s="7" t="n">
        <v>50</v>
      </c>
      <c r="B51" s="7" t="s">
        <v>213</v>
      </c>
      <c r="C51" s="7" t="n">
        <v>1</v>
      </c>
      <c r="D51" s="7" t="s">
        <v>130</v>
      </c>
      <c r="E51" s="7" t="s">
        <v>131</v>
      </c>
      <c r="F51" s="8" t="s">
        <v>80</v>
      </c>
      <c r="G51" s="9" t="s">
        <v>211</v>
      </c>
      <c r="H51" s="10" t="s">
        <v>210</v>
      </c>
      <c r="I51" s="10" t="s">
        <v>109</v>
      </c>
      <c r="J51" s="10" t="s">
        <v>82</v>
      </c>
      <c r="K51" s="7" t="n">
        <v>1</v>
      </c>
      <c r="L51" s="7"/>
      <c r="M51" s="7"/>
      <c r="N51" s="8" t="s">
        <v>23</v>
      </c>
      <c r="O51" s="10"/>
    </row>
    <row r="52" customFormat="false" ht="15" hidden="false" customHeight="false" outlineLevel="0" collapsed="false">
      <c r="A52" s="7" t="n">
        <v>51</v>
      </c>
      <c r="B52" s="7" t="s">
        <v>214</v>
      </c>
      <c r="C52" s="7" t="n">
        <v>1</v>
      </c>
      <c r="D52" s="7" t="s">
        <v>130</v>
      </c>
      <c r="E52" s="7" t="s">
        <v>131</v>
      </c>
      <c r="F52" s="8" t="s">
        <v>80</v>
      </c>
      <c r="G52" s="9" t="s">
        <v>111</v>
      </c>
      <c r="H52" s="10" t="s">
        <v>215</v>
      </c>
      <c r="I52" s="10" t="s">
        <v>216</v>
      </c>
      <c r="J52" s="10" t="s">
        <v>86</v>
      </c>
      <c r="K52" s="7" t="n">
        <v>4</v>
      </c>
      <c r="L52" s="7"/>
      <c r="M52" s="7"/>
      <c r="N52" s="8" t="s">
        <v>23</v>
      </c>
      <c r="O52" s="10"/>
    </row>
    <row r="53" customFormat="false" ht="15" hidden="false" customHeight="false" outlineLevel="0" collapsed="false">
      <c r="A53" s="7" t="n">
        <v>52</v>
      </c>
      <c r="B53" s="7" t="s">
        <v>217</v>
      </c>
      <c r="C53" s="7" t="n">
        <v>1</v>
      </c>
      <c r="D53" s="7" t="s">
        <v>130</v>
      </c>
      <c r="E53" s="7" t="s">
        <v>131</v>
      </c>
      <c r="F53" s="8" t="s">
        <v>80</v>
      </c>
      <c r="G53" s="9" t="s">
        <v>218</v>
      </c>
      <c r="H53" s="10" t="s">
        <v>219</v>
      </c>
      <c r="I53" s="10" t="s">
        <v>220</v>
      </c>
      <c r="J53" s="10" t="s">
        <v>83</v>
      </c>
      <c r="K53" s="7" t="n">
        <v>2</v>
      </c>
      <c r="L53" s="7"/>
      <c r="M53" s="7"/>
      <c r="N53" s="8" t="s">
        <v>23</v>
      </c>
      <c r="O53" s="10"/>
    </row>
    <row r="54" customFormat="false" ht="15" hidden="false" customHeight="false" outlineLevel="0" collapsed="false">
      <c r="A54" s="7" t="n">
        <v>53</v>
      </c>
      <c r="B54" s="7" t="s">
        <v>221</v>
      </c>
      <c r="C54" s="7" t="n">
        <v>1</v>
      </c>
      <c r="D54" s="7" t="s">
        <v>130</v>
      </c>
      <c r="E54" s="7" t="s">
        <v>131</v>
      </c>
      <c r="F54" s="8" t="s">
        <v>80</v>
      </c>
      <c r="G54" s="9" t="s">
        <v>222</v>
      </c>
      <c r="H54" s="10" t="s">
        <v>93</v>
      </c>
      <c r="I54" s="10" t="s">
        <v>82</v>
      </c>
      <c r="J54" s="10" t="s">
        <v>108</v>
      </c>
      <c r="K54" s="7" t="n">
        <v>1</v>
      </c>
      <c r="L54" s="7"/>
      <c r="M54" s="7"/>
      <c r="N54" s="8" t="s">
        <v>23</v>
      </c>
      <c r="O54" s="10"/>
    </row>
    <row r="55" customFormat="false" ht="15" hidden="false" customHeight="false" outlineLevel="0" collapsed="false">
      <c r="A55" s="7" t="n">
        <v>54</v>
      </c>
      <c r="B55" s="7" t="s">
        <v>223</v>
      </c>
      <c r="C55" s="7" t="n">
        <v>1</v>
      </c>
      <c r="D55" s="7" t="s">
        <v>130</v>
      </c>
      <c r="E55" s="7" t="s">
        <v>131</v>
      </c>
      <c r="F55" s="8" t="s">
        <v>80</v>
      </c>
      <c r="G55" s="9" t="s">
        <v>224</v>
      </c>
      <c r="H55" s="10" t="s">
        <v>225</v>
      </c>
      <c r="I55" s="10" t="s">
        <v>226</v>
      </c>
      <c r="J55" s="10" t="s">
        <v>84</v>
      </c>
      <c r="K55" s="7" t="n">
        <v>4</v>
      </c>
      <c r="L55" s="7"/>
      <c r="M55" s="7"/>
      <c r="N55" s="8" t="s">
        <v>23</v>
      </c>
      <c r="O55" s="10"/>
    </row>
    <row r="56" customFormat="false" ht="15" hidden="false" customHeight="false" outlineLevel="0" collapsed="false">
      <c r="A56" s="7" t="n">
        <v>55</v>
      </c>
      <c r="B56" s="7" t="s">
        <v>227</v>
      </c>
      <c r="C56" s="7" t="n">
        <v>1</v>
      </c>
      <c r="D56" s="7" t="s">
        <v>130</v>
      </c>
      <c r="E56" s="7" t="s">
        <v>131</v>
      </c>
      <c r="F56" s="8" t="s">
        <v>80</v>
      </c>
      <c r="G56" s="9" t="s">
        <v>228</v>
      </c>
      <c r="H56" s="10" t="s">
        <v>229</v>
      </c>
      <c r="I56" s="10" t="s">
        <v>83</v>
      </c>
      <c r="J56" s="10" t="s">
        <v>91</v>
      </c>
      <c r="K56" s="7" t="n">
        <v>2</v>
      </c>
      <c r="L56" s="7"/>
      <c r="M56" s="7"/>
      <c r="N56" s="8" t="s">
        <v>23</v>
      </c>
      <c r="O56" s="10"/>
    </row>
    <row r="57" customFormat="false" ht="15" hidden="false" customHeight="false" outlineLevel="0" collapsed="false">
      <c r="A57" s="7" t="n">
        <v>56</v>
      </c>
      <c r="B57" s="7" t="s">
        <v>230</v>
      </c>
      <c r="C57" s="7" t="n">
        <v>1</v>
      </c>
      <c r="D57" s="7" t="s">
        <v>130</v>
      </c>
      <c r="E57" s="7" t="s">
        <v>131</v>
      </c>
      <c r="F57" s="8" t="s">
        <v>80</v>
      </c>
      <c r="G57" s="9" t="s">
        <v>231</v>
      </c>
      <c r="H57" s="10" t="s">
        <v>232</v>
      </c>
      <c r="I57" s="10" t="s">
        <v>109</v>
      </c>
      <c r="J57" s="10" t="s">
        <v>88</v>
      </c>
      <c r="K57" s="7" t="n">
        <v>3</v>
      </c>
      <c r="L57" s="7"/>
      <c r="M57" s="7"/>
      <c r="N57" s="8" t="s">
        <v>23</v>
      </c>
      <c r="O57" s="10"/>
    </row>
    <row r="58" customFormat="false" ht="15" hidden="false" customHeight="false" outlineLevel="0" collapsed="false">
      <c r="A58" s="7" t="n">
        <v>57</v>
      </c>
      <c r="B58" s="7" t="s">
        <v>233</v>
      </c>
      <c r="C58" s="7" t="n">
        <v>1</v>
      </c>
      <c r="D58" s="7" t="s">
        <v>130</v>
      </c>
      <c r="E58" s="7" t="s">
        <v>131</v>
      </c>
      <c r="F58" s="8" t="s">
        <v>80</v>
      </c>
      <c r="G58" s="9" t="s">
        <v>234</v>
      </c>
      <c r="H58" s="10" t="s">
        <v>235</v>
      </c>
      <c r="I58" s="10" t="s">
        <v>212</v>
      </c>
      <c r="J58" s="10" t="s">
        <v>100</v>
      </c>
      <c r="K58" s="7" t="n">
        <v>4</v>
      </c>
      <c r="L58" s="7"/>
      <c r="M58" s="7"/>
      <c r="N58" s="8" t="s">
        <v>23</v>
      </c>
      <c r="O58" s="10"/>
    </row>
    <row r="59" customFormat="false" ht="15" hidden="false" customHeight="false" outlineLevel="0" collapsed="false">
      <c r="A59" s="7" t="n">
        <v>58</v>
      </c>
      <c r="B59" s="7" t="s">
        <v>236</v>
      </c>
      <c r="C59" s="7" t="n">
        <v>1</v>
      </c>
      <c r="D59" s="7" t="s">
        <v>130</v>
      </c>
      <c r="E59" s="7" t="s">
        <v>131</v>
      </c>
      <c r="F59" s="8" t="s">
        <v>80</v>
      </c>
      <c r="G59" s="9" t="s">
        <v>204</v>
      </c>
      <c r="H59" s="10" t="s">
        <v>237</v>
      </c>
      <c r="I59" s="10" t="s">
        <v>201</v>
      </c>
      <c r="J59" s="10" t="s">
        <v>238</v>
      </c>
      <c r="K59" s="7" t="n">
        <v>2</v>
      </c>
      <c r="L59" s="7"/>
      <c r="M59" s="7"/>
      <c r="N59" s="8" t="s">
        <v>23</v>
      </c>
      <c r="O59" s="10"/>
    </row>
    <row r="60" customFormat="false" ht="15" hidden="false" customHeight="false" outlineLevel="0" collapsed="false">
      <c r="A60" s="7" t="n">
        <v>59</v>
      </c>
      <c r="B60" s="7" t="s">
        <v>239</v>
      </c>
      <c r="C60" s="7" t="n">
        <v>1</v>
      </c>
      <c r="D60" s="7" t="s">
        <v>130</v>
      </c>
      <c r="E60" s="7" t="s">
        <v>131</v>
      </c>
      <c r="F60" s="8" t="s">
        <v>117</v>
      </c>
      <c r="G60" s="9" t="s">
        <v>240</v>
      </c>
      <c r="H60" s="10" t="s">
        <v>241</v>
      </c>
      <c r="I60" s="10" t="s">
        <v>120</v>
      </c>
      <c r="J60" s="10" t="s">
        <v>123</v>
      </c>
      <c r="K60" s="7" t="n">
        <v>3</v>
      </c>
      <c r="L60" s="7"/>
      <c r="M60" s="7"/>
      <c r="N60" s="8" t="s">
        <v>23</v>
      </c>
      <c r="O60" s="10"/>
    </row>
    <row r="61" customFormat="false" ht="15" hidden="false" customHeight="false" outlineLevel="0" collapsed="false">
      <c r="A61" s="7" t="n">
        <v>60</v>
      </c>
      <c r="B61" s="7" t="s">
        <v>242</v>
      </c>
      <c r="C61" s="7" t="n">
        <v>1</v>
      </c>
      <c r="D61" s="7" t="s">
        <v>130</v>
      </c>
      <c r="E61" s="7" t="s">
        <v>131</v>
      </c>
      <c r="F61" s="8" t="s">
        <v>117</v>
      </c>
      <c r="G61" s="9" t="s">
        <v>243</v>
      </c>
      <c r="H61" s="10" t="s">
        <v>244</v>
      </c>
      <c r="I61" s="10" t="s">
        <v>118</v>
      </c>
      <c r="J61" s="10" t="s">
        <v>124</v>
      </c>
      <c r="K61" s="7" t="n">
        <v>1</v>
      </c>
      <c r="L61" s="7"/>
      <c r="M61" s="7"/>
      <c r="N61" s="8" t="s">
        <v>23</v>
      </c>
      <c r="O61" s="10"/>
    </row>
    <row r="62" customFormat="false" ht="15" hidden="false" customHeight="false" outlineLevel="0" collapsed="false">
      <c r="A62" s="7" t="n">
        <v>61</v>
      </c>
      <c r="B62" s="7" t="s">
        <v>245</v>
      </c>
      <c r="C62" s="7" t="n">
        <v>1</v>
      </c>
      <c r="D62" s="7" t="s">
        <v>130</v>
      </c>
      <c r="E62" s="7" t="s">
        <v>131</v>
      </c>
      <c r="F62" s="8" t="s">
        <v>117</v>
      </c>
      <c r="G62" s="9" t="s">
        <v>246</v>
      </c>
      <c r="H62" s="10" t="s">
        <v>247</v>
      </c>
      <c r="I62" s="10" t="s">
        <v>120</v>
      </c>
      <c r="J62" s="10" t="s">
        <v>126</v>
      </c>
      <c r="K62" s="7" t="n">
        <v>2</v>
      </c>
      <c r="L62" s="7"/>
      <c r="M62" s="7"/>
      <c r="N62" s="8" t="s">
        <v>23</v>
      </c>
      <c r="O62" s="10"/>
    </row>
    <row r="63" customFormat="false" ht="15" hidden="false" customHeight="false" outlineLevel="0" collapsed="false">
      <c r="A63" s="7" t="n">
        <v>62</v>
      </c>
      <c r="B63" s="7" t="s">
        <v>248</v>
      </c>
      <c r="C63" s="7" t="n">
        <v>1</v>
      </c>
      <c r="D63" s="7" t="s">
        <v>130</v>
      </c>
      <c r="E63" s="7" t="s">
        <v>131</v>
      </c>
      <c r="F63" s="8" t="s">
        <v>117</v>
      </c>
      <c r="G63" s="9" t="s">
        <v>249</v>
      </c>
      <c r="H63" s="10" t="s">
        <v>250</v>
      </c>
      <c r="I63" s="10" t="s">
        <v>251</v>
      </c>
      <c r="J63" s="10" t="s">
        <v>123</v>
      </c>
      <c r="K63" s="7" t="n">
        <v>3</v>
      </c>
      <c r="L63" s="7"/>
      <c r="M63" s="7"/>
      <c r="N63" s="8" t="s">
        <v>23</v>
      </c>
      <c r="O63" s="10"/>
    </row>
    <row r="64" customFormat="false" ht="15" hidden="false" customHeight="false" outlineLevel="0" collapsed="false">
      <c r="A64" s="3" t="n">
        <v>63</v>
      </c>
      <c r="B64" s="3" t="s">
        <v>252</v>
      </c>
      <c r="C64" s="3" t="n">
        <v>1</v>
      </c>
      <c r="D64" s="3" t="s">
        <v>253</v>
      </c>
      <c r="E64" s="3" t="s">
        <v>254</v>
      </c>
      <c r="F64" s="4" t="s">
        <v>18</v>
      </c>
      <c r="G64" s="5" t="s">
        <v>255</v>
      </c>
      <c r="H64" s="6" t="s">
        <v>256</v>
      </c>
      <c r="I64" s="6" t="s">
        <v>257</v>
      </c>
      <c r="J64" s="6" t="s">
        <v>25</v>
      </c>
      <c r="K64" s="3" t="n">
        <v>1</v>
      </c>
      <c r="L64" s="3"/>
      <c r="M64" s="3"/>
      <c r="N64" s="4" t="s">
        <v>23</v>
      </c>
      <c r="O64" s="6"/>
    </row>
    <row r="65" customFormat="false" ht="15" hidden="false" customHeight="false" outlineLevel="0" collapsed="false">
      <c r="A65" s="3" t="n">
        <v>64</v>
      </c>
      <c r="B65" s="3" t="s">
        <v>258</v>
      </c>
      <c r="C65" s="3" t="n">
        <v>1</v>
      </c>
      <c r="D65" s="3" t="s">
        <v>253</v>
      </c>
      <c r="E65" s="3" t="s">
        <v>254</v>
      </c>
      <c r="F65" s="4" t="s">
        <v>18</v>
      </c>
      <c r="G65" s="5" t="s">
        <v>190</v>
      </c>
      <c r="H65" s="6" t="s">
        <v>189</v>
      </c>
      <c r="I65" s="6" t="s">
        <v>259</v>
      </c>
      <c r="J65" s="6" t="s">
        <v>39</v>
      </c>
      <c r="K65" s="3" t="n">
        <v>4</v>
      </c>
      <c r="L65" s="3"/>
      <c r="M65" s="3"/>
      <c r="N65" s="4" t="s">
        <v>23</v>
      </c>
      <c r="O65" s="6"/>
    </row>
    <row r="66" customFormat="false" ht="15" hidden="false" customHeight="false" outlineLevel="0" collapsed="false">
      <c r="A66" s="3" t="n">
        <v>65</v>
      </c>
      <c r="B66" s="3" t="s">
        <v>260</v>
      </c>
      <c r="C66" s="3" t="n">
        <v>1</v>
      </c>
      <c r="D66" s="3" t="s">
        <v>253</v>
      </c>
      <c r="E66" s="3" t="s">
        <v>254</v>
      </c>
      <c r="F66" s="4" t="s">
        <v>18</v>
      </c>
      <c r="G66" s="5" t="s">
        <v>151</v>
      </c>
      <c r="H66" s="6" t="s">
        <v>261</v>
      </c>
      <c r="I66" s="6" t="s">
        <v>262</v>
      </c>
      <c r="J66" s="6" t="s">
        <v>47</v>
      </c>
      <c r="K66" s="3" t="n">
        <v>3</v>
      </c>
      <c r="L66" s="3"/>
      <c r="M66" s="3"/>
      <c r="N66" s="4" t="s">
        <v>23</v>
      </c>
      <c r="O66" s="6"/>
    </row>
    <row r="67" customFormat="false" ht="15" hidden="false" customHeight="false" outlineLevel="0" collapsed="false">
      <c r="A67" s="3" t="n">
        <v>66</v>
      </c>
      <c r="B67" s="3" t="s">
        <v>263</v>
      </c>
      <c r="C67" s="3" t="n">
        <v>1</v>
      </c>
      <c r="D67" s="3" t="s">
        <v>253</v>
      </c>
      <c r="E67" s="3" t="s">
        <v>254</v>
      </c>
      <c r="F67" s="4" t="s">
        <v>18</v>
      </c>
      <c r="G67" s="5" t="s">
        <v>264</v>
      </c>
      <c r="H67" s="6" t="s">
        <v>265</v>
      </c>
      <c r="I67" s="6" t="s">
        <v>266</v>
      </c>
      <c r="J67" s="6" t="s">
        <v>267</v>
      </c>
      <c r="K67" s="3" t="n">
        <v>1</v>
      </c>
      <c r="L67" s="3"/>
      <c r="M67" s="3"/>
      <c r="N67" s="4" t="s">
        <v>23</v>
      </c>
      <c r="O67" s="6"/>
    </row>
    <row r="68" customFormat="false" ht="15" hidden="false" customHeight="false" outlineLevel="0" collapsed="false">
      <c r="A68" s="3" t="n">
        <v>67</v>
      </c>
      <c r="B68" s="3" t="s">
        <v>268</v>
      </c>
      <c r="C68" s="3" t="n">
        <v>1</v>
      </c>
      <c r="D68" s="3" t="s">
        <v>253</v>
      </c>
      <c r="E68" s="3" t="s">
        <v>254</v>
      </c>
      <c r="F68" s="4" t="s">
        <v>18</v>
      </c>
      <c r="G68" s="5" t="s">
        <v>269</v>
      </c>
      <c r="H68" s="6" t="s">
        <v>270</v>
      </c>
      <c r="I68" s="6" t="s">
        <v>78</v>
      </c>
      <c r="J68" s="6" t="s">
        <v>259</v>
      </c>
      <c r="K68" s="3" t="n">
        <v>4</v>
      </c>
      <c r="L68" s="3"/>
      <c r="M68" s="3"/>
      <c r="N68" s="4" t="s">
        <v>23</v>
      </c>
      <c r="O68" s="6"/>
    </row>
    <row r="69" customFormat="false" ht="15" hidden="false" customHeight="false" outlineLevel="0" collapsed="false">
      <c r="A69" s="3" t="n">
        <v>68</v>
      </c>
      <c r="B69" s="3" t="s">
        <v>271</v>
      </c>
      <c r="C69" s="3" t="n">
        <v>1</v>
      </c>
      <c r="D69" s="3" t="s">
        <v>253</v>
      </c>
      <c r="E69" s="3" t="s">
        <v>254</v>
      </c>
      <c r="F69" s="4" t="s">
        <v>18</v>
      </c>
      <c r="G69" s="5" t="s">
        <v>272</v>
      </c>
      <c r="H69" s="6" t="s">
        <v>273</v>
      </c>
      <c r="I69" s="6" t="s">
        <v>274</v>
      </c>
      <c r="J69" s="6" t="s">
        <v>46</v>
      </c>
      <c r="K69" s="3" t="n">
        <v>2</v>
      </c>
      <c r="L69" s="3"/>
      <c r="M69" s="3"/>
      <c r="N69" s="4" t="s">
        <v>23</v>
      </c>
      <c r="O69" s="6"/>
    </row>
    <row r="70" customFormat="false" ht="15" hidden="false" customHeight="false" outlineLevel="0" collapsed="false">
      <c r="A70" s="3" t="n">
        <v>69</v>
      </c>
      <c r="B70" s="3" t="s">
        <v>275</v>
      </c>
      <c r="C70" s="3" t="n">
        <v>1</v>
      </c>
      <c r="D70" s="3" t="s">
        <v>253</v>
      </c>
      <c r="E70" s="3" t="s">
        <v>254</v>
      </c>
      <c r="F70" s="4" t="s">
        <v>18</v>
      </c>
      <c r="G70" s="5" t="s">
        <v>276</v>
      </c>
      <c r="H70" s="6" t="s">
        <v>143</v>
      </c>
      <c r="I70" s="6" t="s">
        <v>277</v>
      </c>
      <c r="J70" s="6" t="s">
        <v>43</v>
      </c>
      <c r="K70" s="3" t="n">
        <v>1</v>
      </c>
      <c r="L70" s="3"/>
      <c r="M70" s="3"/>
      <c r="N70" s="4" t="s">
        <v>23</v>
      </c>
      <c r="O70" s="6"/>
    </row>
    <row r="71" customFormat="false" ht="15" hidden="false" customHeight="false" outlineLevel="0" collapsed="false">
      <c r="A71" s="3" t="n">
        <v>70</v>
      </c>
      <c r="B71" s="3" t="s">
        <v>278</v>
      </c>
      <c r="C71" s="3" t="n">
        <v>1</v>
      </c>
      <c r="D71" s="3" t="s">
        <v>253</v>
      </c>
      <c r="E71" s="3" t="s">
        <v>254</v>
      </c>
      <c r="F71" s="4" t="s">
        <v>18</v>
      </c>
      <c r="G71" s="5" t="s">
        <v>279</v>
      </c>
      <c r="H71" s="6" t="s">
        <v>280</v>
      </c>
      <c r="I71" s="6" t="s">
        <v>281</v>
      </c>
      <c r="J71" s="6" t="s">
        <v>52</v>
      </c>
      <c r="K71" s="3" t="n">
        <v>4</v>
      </c>
      <c r="L71" s="3"/>
      <c r="M71" s="3"/>
      <c r="N71" s="4" t="s">
        <v>23</v>
      </c>
      <c r="O71" s="6"/>
    </row>
    <row r="72" customFormat="false" ht="15" hidden="false" customHeight="false" outlineLevel="0" collapsed="false">
      <c r="A72" s="3" t="n">
        <v>71</v>
      </c>
      <c r="B72" s="3" t="s">
        <v>282</v>
      </c>
      <c r="C72" s="3" t="n">
        <v>1</v>
      </c>
      <c r="D72" s="3" t="s">
        <v>253</v>
      </c>
      <c r="E72" s="3" t="s">
        <v>254</v>
      </c>
      <c r="F72" s="4" t="s">
        <v>18</v>
      </c>
      <c r="G72" s="5" t="s">
        <v>283</v>
      </c>
      <c r="H72" s="6" t="s">
        <v>284</v>
      </c>
      <c r="I72" s="6" t="s">
        <v>274</v>
      </c>
      <c r="J72" s="6" t="s">
        <v>26</v>
      </c>
      <c r="K72" s="3" t="n">
        <v>2</v>
      </c>
      <c r="L72" s="3"/>
      <c r="M72" s="3"/>
      <c r="N72" s="4" t="s">
        <v>23</v>
      </c>
      <c r="O72" s="6"/>
    </row>
    <row r="73" customFormat="false" ht="15" hidden="false" customHeight="false" outlineLevel="0" collapsed="false">
      <c r="A73" s="3" t="n">
        <v>72</v>
      </c>
      <c r="B73" s="3" t="s">
        <v>285</v>
      </c>
      <c r="C73" s="3" t="n">
        <v>1</v>
      </c>
      <c r="D73" s="3" t="s">
        <v>253</v>
      </c>
      <c r="E73" s="3" t="s">
        <v>254</v>
      </c>
      <c r="F73" s="4" t="s">
        <v>18</v>
      </c>
      <c r="G73" s="5" t="s">
        <v>286</v>
      </c>
      <c r="H73" s="6" t="s">
        <v>287</v>
      </c>
      <c r="I73" s="6" t="s">
        <v>39</v>
      </c>
      <c r="J73" s="6" t="s">
        <v>52</v>
      </c>
      <c r="K73" s="3" t="n">
        <v>3</v>
      </c>
      <c r="L73" s="3"/>
      <c r="M73" s="3"/>
      <c r="N73" s="4" t="s">
        <v>23</v>
      </c>
      <c r="O73" s="6"/>
    </row>
    <row r="74" customFormat="false" ht="15" hidden="false" customHeight="false" outlineLevel="0" collapsed="false">
      <c r="A74" s="3" t="n">
        <v>73</v>
      </c>
      <c r="B74" s="3" t="s">
        <v>288</v>
      </c>
      <c r="C74" s="3" t="n">
        <v>1</v>
      </c>
      <c r="D74" s="3" t="s">
        <v>253</v>
      </c>
      <c r="E74" s="3" t="s">
        <v>254</v>
      </c>
      <c r="F74" s="4" t="s">
        <v>18</v>
      </c>
      <c r="G74" s="5" t="s">
        <v>289</v>
      </c>
      <c r="H74" s="6" t="s">
        <v>290</v>
      </c>
      <c r="I74" s="6" t="s">
        <v>269</v>
      </c>
      <c r="J74" s="6" t="s">
        <v>191</v>
      </c>
      <c r="K74" s="3" t="n">
        <v>4</v>
      </c>
      <c r="L74" s="3"/>
      <c r="M74" s="3"/>
      <c r="N74" s="4" t="s">
        <v>23</v>
      </c>
      <c r="O74" s="6"/>
    </row>
    <row r="75" customFormat="false" ht="15" hidden="false" customHeight="false" outlineLevel="0" collapsed="false">
      <c r="A75" s="3" t="n">
        <v>74</v>
      </c>
      <c r="B75" s="3" t="s">
        <v>291</v>
      </c>
      <c r="C75" s="3" t="n">
        <v>1</v>
      </c>
      <c r="D75" s="3" t="s">
        <v>253</v>
      </c>
      <c r="E75" s="3" t="s">
        <v>254</v>
      </c>
      <c r="F75" s="4" t="s">
        <v>18</v>
      </c>
      <c r="G75" s="5" t="s">
        <v>292</v>
      </c>
      <c r="H75" s="6" t="s">
        <v>293</v>
      </c>
      <c r="I75" s="6" t="s">
        <v>153</v>
      </c>
      <c r="J75" s="6" t="s">
        <v>156</v>
      </c>
      <c r="K75" s="3" t="n">
        <v>2</v>
      </c>
      <c r="L75" s="3"/>
      <c r="M75" s="3"/>
      <c r="N75" s="4" t="s">
        <v>23</v>
      </c>
      <c r="O75" s="6"/>
    </row>
    <row r="76" customFormat="false" ht="15" hidden="false" customHeight="false" outlineLevel="0" collapsed="false">
      <c r="A76" s="3" t="n">
        <v>75</v>
      </c>
      <c r="B76" s="3" t="s">
        <v>294</v>
      </c>
      <c r="C76" s="3" t="n">
        <v>1</v>
      </c>
      <c r="D76" s="3" t="s">
        <v>253</v>
      </c>
      <c r="E76" s="3" t="s">
        <v>254</v>
      </c>
      <c r="F76" s="4" t="s">
        <v>18</v>
      </c>
      <c r="G76" s="5" t="s">
        <v>295</v>
      </c>
      <c r="H76" s="6" t="s">
        <v>196</v>
      </c>
      <c r="I76" s="6" t="s">
        <v>52</v>
      </c>
      <c r="J76" s="6" t="s">
        <v>26</v>
      </c>
      <c r="K76" s="3" t="n">
        <v>3</v>
      </c>
      <c r="L76" s="3"/>
      <c r="M76" s="3"/>
      <c r="N76" s="4" t="s">
        <v>23</v>
      </c>
      <c r="O76" s="6"/>
    </row>
    <row r="77" customFormat="false" ht="15" hidden="false" customHeight="false" outlineLevel="0" collapsed="false">
      <c r="A77" s="3" t="n">
        <v>76</v>
      </c>
      <c r="B77" s="3" t="s">
        <v>296</v>
      </c>
      <c r="C77" s="3" t="n">
        <v>1</v>
      </c>
      <c r="D77" s="3" t="s">
        <v>253</v>
      </c>
      <c r="E77" s="3" t="s">
        <v>254</v>
      </c>
      <c r="F77" s="4" t="s">
        <v>18</v>
      </c>
      <c r="G77" s="5" t="s">
        <v>27</v>
      </c>
      <c r="H77" s="6" t="s">
        <v>146</v>
      </c>
      <c r="I77" s="6" t="s">
        <v>25</v>
      </c>
      <c r="J77" s="6" t="s">
        <v>297</v>
      </c>
      <c r="K77" s="3" t="n">
        <v>1</v>
      </c>
      <c r="L77" s="3"/>
      <c r="M77" s="3"/>
      <c r="N77" s="4" t="s">
        <v>23</v>
      </c>
      <c r="O77" s="6"/>
    </row>
    <row r="78" customFormat="false" ht="15" hidden="false" customHeight="false" outlineLevel="0" collapsed="false">
      <c r="A78" s="3" t="n">
        <v>77</v>
      </c>
      <c r="B78" s="3" t="s">
        <v>298</v>
      </c>
      <c r="C78" s="3" t="n">
        <v>1</v>
      </c>
      <c r="D78" s="3" t="s">
        <v>253</v>
      </c>
      <c r="E78" s="3" t="s">
        <v>254</v>
      </c>
      <c r="F78" s="4" t="s">
        <v>18</v>
      </c>
      <c r="G78" s="5" t="s">
        <v>299</v>
      </c>
      <c r="H78" s="6" t="s">
        <v>300</v>
      </c>
      <c r="I78" s="6" t="s">
        <v>62</v>
      </c>
      <c r="J78" s="6" t="s">
        <v>177</v>
      </c>
      <c r="K78" s="3" t="n">
        <v>2</v>
      </c>
      <c r="L78" s="3"/>
      <c r="M78" s="3"/>
      <c r="N78" s="4" t="s">
        <v>23</v>
      </c>
      <c r="O78" s="6"/>
    </row>
    <row r="79" customFormat="false" ht="15" hidden="false" customHeight="false" outlineLevel="0" collapsed="false">
      <c r="A79" s="3" t="n">
        <v>78</v>
      </c>
      <c r="B79" s="3" t="s">
        <v>301</v>
      </c>
      <c r="C79" s="3" t="n">
        <v>1</v>
      </c>
      <c r="D79" s="3" t="s">
        <v>253</v>
      </c>
      <c r="E79" s="3" t="s">
        <v>254</v>
      </c>
      <c r="F79" s="4" t="s">
        <v>80</v>
      </c>
      <c r="G79" s="5" t="s">
        <v>302</v>
      </c>
      <c r="H79" s="6" t="s">
        <v>303</v>
      </c>
      <c r="I79" s="6" t="s">
        <v>304</v>
      </c>
      <c r="J79" s="6" t="s">
        <v>305</v>
      </c>
      <c r="K79" s="3" t="n">
        <v>3</v>
      </c>
      <c r="L79" s="3"/>
      <c r="M79" s="3"/>
      <c r="N79" s="4" t="s">
        <v>23</v>
      </c>
      <c r="O79" s="6"/>
    </row>
    <row r="80" customFormat="false" ht="15" hidden="false" customHeight="false" outlineLevel="0" collapsed="false">
      <c r="A80" s="3" t="n">
        <v>79</v>
      </c>
      <c r="B80" s="3" t="s">
        <v>306</v>
      </c>
      <c r="C80" s="3" t="n">
        <v>1</v>
      </c>
      <c r="D80" s="3" t="s">
        <v>253</v>
      </c>
      <c r="E80" s="3" t="s">
        <v>254</v>
      </c>
      <c r="F80" s="4" t="s">
        <v>80</v>
      </c>
      <c r="G80" s="5" t="s">
        <v>307</v>
      </c>
      <c r="H80" s="6" t="s">
        <v>308</v>
      </c>
      <c r="I80" s="6" t="s">
        <v>309</v>
      </c>
      <c r="J80" s="6" t="s">
        <v>91</v>
      </c>
      <c r="K80" s="3" t="n">
        <v>1</v>
      </c>
      <c r="L80" s="3"/>
      <c r="M80" s="3"/>
      <c r="N80" s="4" t="s">
        <v>23</v>
      </c>
      <c r="O80" s="6"/>
    </row>
    <row r="81" customFormat="false" ht="15" hidden="false" customHeight="false" outlineLevel="0" collapsed="false">
      <c r="A81" s="3" t="n">
        <v>80</v>
      </c>
      <c r="B81" s="3" t="s">
        <v>310</v>
      </c>
      <c r="C81" s="3" t="n">
        <v>1</v>
      </c>
      <c r="D81" s="3" t="s">
        <v>253</v>
      </c>
      <c r="E81" s="3" t="s">
        <v>254</v>
      </c>
      <c r="F81" s="4" t="s">
        <v>80</v>
      </c>
      <c r="G81" s="5" t="s">
        <v>311</v>
      </c>
      <c r="H81" s="6" t="s">
        <v>83</v>
      </c>
      <c r="I81" s="6" t="s">
        <v>97</v>
      </c>
      <c r="J81" s="6" t="s">
        <v>105</v>
      </c>
      <c r="K81" s="3" t="n">
        <v>4</v>
      </c>
      <c r="L81" s="3"/>
      <c r="M81" s="3"/>
      <c r="N81" s="4" t="s">
        <v>23</v>
      </c>
      <c r="O81" s="6"/>
    </row>
    <row r="82" customFormat="false" ht="15" hidden="false" customHeight="false" outlineLevel="0" collapsed="false">
      <c r="A82" s="3" t="n">
        <v>81</v>
      </c>
      <c r="B82" s="3" t="s">
        <v>312</v>
      </c>
      <c r="C82" s="3" t="n">
        <v>1</v>
      </c>
      <c r="D82" s="3" t="s">
        <v>253</v>
      </c>
      <c r="E82" s="3" t="s">
        <v>254</v>
      </c>
      <c r="F82" s="4" t="s">
        <v>80</v>
      </c>
      <c r="G82" s="5" t="s">
        <v>313</v>
      </c>
      <c r="H82" s="6" t="s">
        <v>314</v>
      </c>
      <c r="I82" s="6" t="s">
        <v>315</v>
      </c>
      <c r="J82" s="6" t="s">
        <v>86</v>
      </c>
      <c r="K82" s="3" t="n">
        <v>3</v>
      </c>
      <c r="L82" s="3"/>
      <c r="M82" s="3"/>
      <c r="N82" s="4" t="s">
        <v>23</v>
      </c>
      <c r="O82" s="6"/>
    </row>
    <row r="83" customFormat="false" ht="15" hidden="false" customHeight="false" outlineLevel="0" collapsed="false">
      <c r="A83" s="3" t="n">
        <v>82</v>
      </c>
      <c r="B83" s="3" t="s">
        <v>316</v>
      </c>
      <c r="C83" s="3" t="n">
        <v>1</v>
      </c>
      <c r="D83" s="3" t="s">
        <v>253</v>
      </c>
      <c r="E83" s="3" t="s">
        <v>254</v>
      </c>
      <c r="F83" s="4" t="s">
        <v>80</v>
      </c>
      <c r="G83" s="5" t="s">
        <v>317</v>
      </c>
      <c r="H83" s="6" t="s">
        <v>100</v>
      </c>
      <c r="I83" s="6" t="s">
        <v>318</v>
      </c>
      <c r="J83" s="6" t="s">
        <v>319</v>
      </c>
      <c r="K83" s="3" t="n">
        <v>1</v>
      </c>
      <c r="L83" s="3"/>
      <c r="M83" s="3"/>
      <c r="N83" s="4" t="s">
        <v>23</v>
      </c>
      <c r="O83" s="6"/>
    </row>
    <row r="84" customFormat="false" ht="15" hidden="false" customHeight="false" outlineLevel="0" collapsed="false">
      <c r="A84" s="3" t="n">
        <v>83</v>
      </c>
      <c r="B84" s="3" t="s">
        <v>320</v>
      </c>
      <c r="C84" s="3" t="n">
        <v>1</v>
      </c>
      <c r="D84" s="3" t="s">
        <v>253</v>
      </c>
      <c r="E84" s="3" t="s">
        <v>254</v>
      </c>
      <c r="F84" s="4" t="s">
        <v>80</v>
      </c>
      <c r="G84" s="5" t="s">
        <v>321</v>
      </c>
      <c r="H84" s="6" t="s">
        <v>115</v>
      </c>
      <c r="I84" s="6" t="s">
        <v>322</v>
      </c>
      <c r="J84" s="6" t="s">
        <v>88</v>
      </c>
      <c r="K84" s="3" t="n">
        <v>4</v>
      </c>
      <c r="L84" s="3"/>
      <c r="M84" s="3"/>
      <c r="N84" s="4" t="s">
        <v>23</v>
      </c>
      <c r="O84" s="6"/>
    </row>
    <row r="85" customFormat="false" ht="15" hidden="false" customHeight="false" outlineLevel="0" collapsed="false">
      <c r="A85" s="3" t="n">
        <v>84</v>
      </c>
      <c r="B85" s="3" t="s">
        <v>323</v>
      </c>
      <c r="C85" s="3" t="n">
        <v>1</v>
      </c>
      <c r="D85" s="3" t="s">
        <v>253</v>
      </c>
      <c r="E85" s="3" t="s">
        <v>254</v>
      </c>
      <c r="F85" s="4" t="s">
        <v>80</v>
      </c>
      <c r="G85" s="5" t="s">
        <v>324</v>
      </c>
      <c r="H85" s="6" t="s">
        <v>325</v>
      </c>
      <c r="I85" s="6" t="s">
        <v>326</v>
      </c>
      <c r="J85" s="6" t="s">
        <v>327</v>
      </c>
      <c r="K85" s="3" t="n">
        <v>2</v>
      </c>
      <c r="L85" s="3"/>
      <c r="M85" s="3"/>
      <c r="N85" s="4" t="s">
        <v>23</v>
      </c>
      <c r="O85" s="6"/>
    </row>
    <row r="86" customFormat="false" ht="15" hidden="false" customHeight="false" outlineLevel="0" collapsed="false">
      <c r="A86" s="3" t="n">
        <v>85</v>
      </c>
      <c r="B86" s="3" t="s">
        <v>328</v>
      </c>
      <c r="C86" s="3" t="n">
        <v>1</v>
      </c>
      <c r="D86" s="3" t="s">
        <v>253</v>
      </c>
      <c r="E86" s="3" t="s">
        <v>254</v>
      </c>
      <c r="F86" s="4" t="s">
        <v>80</v>
      </c>
      <c r="G86" s="5" t="s">
        <v>329</v>
      </c>
      <c r="H86" s="6" t="s">
        <v>330</v>
      </c>
      <c r="I86" s="6" t="s">
        <v>331</v>
      </c>
      <c r="J86" s="6" t="s">
        <v>109</v>
      </c>
      <c r="K86" s="3" t="n">
        <v>1</v>
      </c>
      <c r="L86" s="3"/>
      <c r="M86" s="3"/>
      <c r="N86" s="4" t="s">
        <v>23</v>
      </c>
      <c r="O86" s="6"/>
    </row>
    <row r="87" customFormat="false" ht="15" hidden="false" customHeight="false" outlineLevel="0" collapsed="false">
      <c r="A87" s="3" t="n">
        <v>86</v>
      </c>
      <c r="B87" s="3" t="s">
        <v>332</v>
      </c>
      <c r="C87" s="3" t="n">
        <v>1</v>
      </c>
      <c r="D87" s="3" t="s">
        <v>253</v>
      </c>
      <c r="E87" s="3" t="s">
        <v>254</v>
      </c>
      <c r="F87" s="4" t="s">
        <v>80</v>
      </c>
      <c r="G87" s="5" t="s">
        <v>333</v>
      </c>
      <c r="H87" s="6" t="s">
        <v>235</v>
      </c>
      <c r="I87" s="6" t="s">
        <v>334</v>
      </c>
      <c r="J87" s="6" t="s">
        <v>100</v>
      </c>
      <c r="K87" s="3" t="n">
        <v>4</v>
      </c>
      <c r="L87" s="3"/>
      <c r="M87" s="3"/>
      <c r="N87" s="4" t="s">
        <v>23</v>
      </c>
      <c r="O87" s="6"/>
    </row>
    <row r="88" customFormat="false" ht="15" hidden="false" customHeight="false" outlineLevel="0" collapsed="false">
      <c r="A88" s="3" t="n">
        <v>87</v>
      </c>
      <c r="B88" s="3" t="s">
        <v>335</v>
      </c>
      <c r="C88" s="3" t="n">
        <v>1</v>
      </c>
      <c r="D88" s="3" t="s">
        <v>253</v>
      </c>
      <c r="E88" s="3" t="s">
        <v>254</v>
      </c>
      <c r="F88" s="4" t="s">
        <v>80</v>
      </c>
      <c r="G88" s="5" t="s">
        <v>336</v>
      </c>
      <c r="H88" s="6" t="s">
        <v>337</v>
      </c>
      <c r="I88" s="6" t="s">
        <v>338</v>
      </c>
      <c r="J88" s="6" t="s">
        <v>100</v>
      </c>
      <c r="K88" s="3" t="n">
        <v>2</v>
      </c>
      <c r="L88" s="3"/>
      <c r="M88" s="3"/>
      <c r="N88" s="4" t="s">
        <v>23</v>
      </c>
      <c r="O88" s="6"/>
    </row>
    <row r="89" customFormat="false" ht="15" hidden="false" customHeight="false" outlineLevel="0" collapsed="false">
      <c r="A89" s="3" t="n">
        <v>88</v>
      </c>
      <c r="B89" s="3" t="s">
        <v>339</v>
      </c>
      <c r="C89" s="3" t="n">
        <v>1</v>
      </c>
      <c r="D89" s="3" t="s">
        <v>253</v>
      </c>
      <c r="E89" s="3" t="s">
        <v>254</v>
      </c>
      <c r="F89" s="4" t="s">
        <v>80</v>
      </c>
      <c r="G89" s="5" t="s">
        <v>340</v>
      </c>
      <c r="H89" s="6" t="s">
        <v>341</v>
      </c>
      <c r="I89" s="6" t="s">
        <v>342</v>
      </c>
      <c r="J89" s="6" t="s">
        <v>237</v>
      </c>
      <c r="K89" s="3" t="n">
        <v>3</v>
      </c>
      <c r="L89" s="3"/>
      <c r="M89" s="3"/>
      <c r="N89" s="4" t="s">
        <v>23</v>
      </c>
      <c r="O89" s="6"/>
    </row>
    <row r="90" customFormat="false" ht="15" hidden="false" customHeight="false" outlineLevel="0" collapsed="false">
      <c r="A90" s="3" t="n">
        <v>89</v>
      </c>
      <c r="B90" s="3" t="s">
        <v>343</v>
      </c>
      <c r="C90" s="3" t="n">
        <v>1</v>
      </c>
      <c r="D90" s="3" t="s">
        <v>253</v>
      </c>
      <c r="E90" s="3" t="s">
        <v>254</v>
      </c>
      <c r="F90" s="4" t="s">
        <v>117</v>
      </c>
      <c r="G90" s="5" t="s">
        <v>344</v>
      </c>
      <c r="H90" s="6" t="s">
        <v>345</v>
      </c>
      <c r="I90" s="6" t="s">
        <v>346</v>
      </c>
      <c r="J90" s="6" t="s">
        <v>243</v>
      </c>
      <c r="K90" s="3" t="n">
        <v>4</v>
      </c>
      <c r="L90" s="3"/>
      <c r="M90" s="3"/>
      <c r="N90" s="4" t="s">
        <v>23</v>
      </c>
      <c r="O90" s="6"/>
    </row>
    <row r="91" customFormat="false" ht="15" hidden="false" customHeight="false" outlineLevel="0" collapsed="false">
      <c r="A91" s="3" t="n">
        <v>90</v>
      </c>
      <c r="B91" s="3" t="s">
        <v>347</v>
      </c>
      <c r="C91" s="3" t="n">
        <v>1</v>
      </c>
      <c r="D91" s="3" t="s">
        <v>253</v>
      </c>
      <c r="E91" s="3" t="s">
        <v>254</v>
      </c>
      <c r="F91" s="4" t="s">
        <v>117</v>
      </c>
      <c r="G91" s="5" t="s">
        <v>348</v>
      </c>
      <c r="H91" s="6" t="s">
        <v>349</v>
      </c>
      <c r="I91" s="6" t="s">
        <v>127</v>
      </c>
      <c r="J91" s="6" t="s">
        <v>246</v>
      </c>
      <c r="K91" s="3" t="n">
        <v>2</v>
      </c>
      <c r="L91" s="3"/>
      <c r="M91" s="3"/>
      <c r="N91" s="4" t="s">
        <v>23</v>
      </c>
      <c r="O91" s="6"/>
    </row>
    <row r="92" customFormat="false" ht="15" hidden="false" customHeight="false" outlineLevel="0" collapsed="false">
      <c r="A92" s="3" t="n">
        <v>91</v>
      </c>
      <c r="B92" s="3" t="s">
        <v>350</v>
      </c>
      <c r="C92" s="3" t="n">
        <v>1</v>
      </c>
      <c r="D92" s="3" t="s">
        <v>253</v>
      </c>
      <c r="E92" s="3" t="s">
        <v>254</v>
      </c>
      <c r="F92" s="4" t="s">
        <v>117</v>
      </c>
      <c r="G92" s="5" t="s">
        <v>351</v>
      </c>
      <c r="H92" s="6" t="s">
        <v>352</v>
      </c>
      <c r="I92" s="6" t="s">
        <v>353</v>
      </c>
      <c r="J92" s="6" t="s">
        <v>123</v>
      </c>
      <c r="K92" s="3" t="n">
        <v>3</v>
      </c>
      <c r="L92" s="3"/>
      <c r="M92" s="3"/>
      <c r="N92" s="4" t="s">
        <v>23</v>
      </c>
      <c r="O92" s="6"/>
    </row>
    <row r="93" customFormat="false" ht="15" hidden="false" customHeight="false" outlineLevel="0" collapsed="false">
      <c r="A93" s="3" t="n">
        <v>92</v>
      </c>
      <c r="B93" s="3" t="s">
        <v>354</v>
      </c>
      <c r="C93" s="3" t="n">
        <v>1</v>
      </c>
      <c r="D93" s="3" t="s">
        <v>253</v>
      </c>
      <c r="E93" s="3" t="s">
        <v>254</v>
      </c>
      <c r="F93" s="4" t="s">
        <v>117</v>
      </c>
      <c r="G93" s="5" t="s">
        <v>355</v>
      </c>
      <c r="H93" s="6" t="s">
        <v>356</v>
      </c>
      <c r="I93" s="6" t="s">
        <v>357</v>
      </c>
      <c r="J93" s="6" t="s">
        <v>126</v>
      </c>
      <c r="K93" s="3" t="n">
        <v>1</v>
      </c>
      <c r="L93" s="3"/>
      <c r="M93" s="3"/>
      <c r="N93" s="4" t="s">
        <v>23</v>
      </c>
      <c r="O93" s="6"/>
    </row>
    <row r="94" customFormat="false" ht="15" hidden="false" customHeight="false" outlineLevel="0" collapsed="false">
      <c r="A94" s="7" t="n">
        <v>93</v>
      </c>
      <c r="B94" s="7" t="s">
        <v>358</v>
      </c>
      <c r="C94" s="7" t="n">
        <v>2</v>
      </c>
      <c r="D94" s="7" t="s">
        <v>359</v>
      </c>
      <c r="E94" s="7" t="s">
        <v>360</v>
      </c>
      <c r="F94" s="8" t="s">
        <v>18</v>
      </c>
      <c r="G94" s="9" t="s">
        <v>361</v>
      </c>
      <c r="H94" s="10" t="s">
        <v>362</v>
      </c>
      <c r="I94" s="10" t="s">
        <v>363</v>
      </c>
      <c r="J94" s="10" t="s">
        <v>68</v>
      </c>
      <c r="K94" s="7" t="n">
        <v>2</v>
      </c>
      <c r="L94" s="7"/>
      <c r="M94" s="7"/>
      <c r="N94" s="8" t="s">
        <v>23</v>
      </c>
      <c r="O94" s="10"/>
    </row>
    <row r="95" customFormat="false" ht="15" hidden="false" customHeight="false" outlineLevel="0" collapsed="false">
      <c r="A95" s="7" t="n">
        <v>94</v>
      </c>
      <c r="B95" s="7" t="s">
        <v>364</v>
      </c>
      <c r="C95" s="7" t="n">
        <v>2</v>
      </c>
      <c r="D95" s="7" t="s">
        <v>359</v>
      </c>
      <c r="E95" s="7" t="s">
        <v>360</v>
      </c>
      <c r="F95" s="8" t="s">
        <v>18</v>
      </c>
      <c r="G95" s="9" t="s">
        <v>365</v>
      </c>
      <c r="H95" s="10" t="s">
        <v>366</v>
      </c>
      <c r="I95" s="10" t="s">
        <v>367</v>
      </c>
      <c r="J95" s="10" t="s">
        <v>30</v>
      </c>
      <c r="K95" s="7" t="n">
        <v>3</v>
      </c>
      <c r="L95" s="7"/>
      <c r="M95" s="7"/>
      <c r="N95" s="8" t="s">
        <v>23</v>
      </c>
      <c r="O95" s="10"/>
    </row>
    <row r="96" customFormat="false" ht="15" hidden="false" customHeight="false" outlineLevel="0" collapsed="false">
      <c r="A96" s="7" t="n">
        <v>95</v>
      </c>
      <c r="B96" s="7" t="s">
        <v>368</v>
      </c>
      <c r="C96" s="7" t="n">
        <v>2</v>
      </c>
      <c r="D96" s="7" t="s">
        <v>359</v>
      </c>
      <c r="E96" s="7" t="s">
        <v>360</v>
      </c>
      <c r="F96" s="8" t="s">
        <v>18</v>
      </c>
      <c r="G96" s="9" t="s">
        <v>369</v>
      </c>
      <c r="H96" s="10" t="s">
        <v>280</v>
      </c>
      <c r="I96" s="10" t="s">
        <v>78</v>
      </c>
      <c r="J96" s="10" t="s">
        <v>41</v>
      </c>
      <c r="K96" s="7" t="n">
        <v>1</v>
      </c>
      <c r="L96" s="7"/>
      <c r="M96" s="7"/>
      <c r="N96" s="8" t="s">
        <v>23</v>
      </c>
      <c r="O96" s="10"/>
    </row>
    <row r="97" customFormat="false" ht="15" hidden="false" customHeight="false" outlineLevel="0" collapsed="false">
      <c r="A97" s="7" t="n">
        <v>96</v>
      </c>
      <c r="B97" s="7" t="s">
        <v>370</v>
      </c>
      <c r="C97" s="7" t="n">
        <v>2</v>
      </c>
      <c r="D97" s="7" t="s">
        <v>359</v>
      </c>
      <c r="E97" s="7" t="s">
        <v>360</v>
      </c>
      <c r="F97" s="8" t="s">
        <v>18</v>
      </c>
      <c r="G97" s="9" t="s">
        <v>371</v>
      </c>
      <c r="H97" s="10" t="s">
        <v>372</v>
      </c>
      <c r="I97" s="10" t="s">
        <v>373</v>
      </c>
      <c r="J97" s="10" t="s">
        <v>153</v>
      </c>
      <c r="K97" s="7" t="n">
        <v>4</v>
      </c>
      <c r="L97" s="7"/>
      <c r="M97" s="7"/>
      <c r="N97" s="8" t="s">
        <v>23</v>
      </c>
      <c r="O97" s="10"/>
    </row>
    <row r="98" customFormat="false" ht="15" hidden="false" customHeight="false" outlineLevel="0" collapsed="false">
      <c r="A98" s="7" t="n">
        <v>97</v>
      </c>
      <c r="B98" s="7" t="s">
        <v>374</v>
      </c>
      <c r="C98" s="7" t="n">
        <v>2</v>
      </c>
      <c r="D98" s="7" t="s">
        <v>359</v>
      </c>
      <c r="E98" s="7" t="s">
        <v>360</v>
      </c>
      <c r="F98" s="8" t="s">
        <v>18</v>
      </c>
      <c r="G98" s="9" t="s">
        <v>366</v>
      </c>
      <c r="H98" s="10" t="s">
        <v>365</v>
      </c>
      <c r="I98" s="10" t="s">
        <v>375</v>
      </c>
      <c r="J98" s="10" t="s">
        <v>52</v>
      </c>
      <c r="K98" s="7" t="n">
        <v>3</v>
      </c>
      <c r="L98" s="7"/>
      <c r="M98" s="7"/>
      <c r="N98" s="8" t="s">
        <v>23</v>
      </c>
      <c r="O98" s="10"/>
    </row>
    <row r="99" customFormat="false" ht="15" hidden="false" customHeight="false" outlineLevel="0" collapsed="false">
      <c r="A99" s="7" t="n">
        <v>98</v>
      </c>
      <c r="B99" s="7" t="s">
        <v>376</v>
      </c>
      <c r="C99" s="7" t="n">
        <v>2</v>
      </c>
      <c r="D99" s="7" t="s">
        <v>359</v>
      </c>
      <c r="E99" s="7" t="s">
        <v>360</v>
      </c>
      <c r="F99" s="8" t="s">
        <v>18</v>
      </c>
      <c r="G99" s="9" t="s">
        <v>377</v>
      </c>
      <c r="H99" s="10" t="s">
        <v>378</v>
      </c>
      <c r="I99" s="10" t="s">
        <v>379</v>
      </c>
      <c r="J99" s="10" t="s">
        <v>380</v>
      </c>
      <c r="K99" s="7" t="n">
        <v>1</v>
      </c>
      <c r="L99" s="7"/>
      <c r="M99" s="7"/>
      <c r="N99" s="8" t="s">
        <v>23</v>
      </c>
      <c r="O99" s="10"/>
    </row>
    <row r="100" customFormat="false" ht="15" hidden="false" customHeight="false" outlineLevel="0" collapsed="false">
      <c r="A100" s="7" t="n">
        <v>99</v>
      </c>
      <c r="B100" s="7" t="s">
        <v>381</v>
      </c>
      <c r="C100" s="7" t="n">
        <v>2</v>
      </c>
      <c r="D100" s="7" t="s">
        <v>359</v>
      </c>
      <c r="E100" s="7" t="s">
        <v>360</v>
      </c>
      <c r="F100" s="8" t="s">
        <v>18</v>
      </c>
      <c r="G100" s="9" t="s">
        <v>274</v>
      </c>
      <c r="H100" s="10" t="s">
        <v>382</v>
      </c>
      <c r="I100" s="10" t="s">
        <v>272</v>
      </c>
      <c r="J100" s="10" t="s">
        <v>39</v>
      </c>
      <c r="K100" s="7" t="n">
        <v>4</v>
      </c>
      <c r="L100" s="7"/>
      <c r="M100" s="7"/>
      <c r="N100" s="8" t="s">
        <v>23</v>
      </c>
      <c r="O100" s="10"/>
    </row>
    <row r="101" customFormat="false" ht="15" hidden="false" customHeight="false" outlineLevel="0" collapsed="false">
      <c r="A101" s="7" t="n">
        <v>100</v>
      </c>
      <c r="B101" s="7" t="s">
        <v>383</v>
      </c>
      <c r="C101" s="7" t="n">
        <v>2</v>
      </c>
      <c r="D101" s="7" t="s">
        <v>359</v>
      </c>
      <c r="E101" s="7" t="s">
        <v>360</v>
      </c>
      <c r="F101" s="8" t="s">
        <v>18</v>
      </c>
      <c r="G101" s="9" t="s">
        <v>384</v>
      </c>
      <c r="H101" s="10" t="s">
        <v>385</v>
      </c>
      <c r="I101" s="10" t="s">
        <v>43</v>
      </c>
      <c r="J101" s="10" t="s">
        <v>68</v>
      </c>
      <c r="K101" s="7" t="n">
        <v>2</v>
      </c>
      <c r="L101" s="7"/>
      <c r="M101" s="7"/>
      <c r="N101" s="8" t="s">
        <v>23</v>
      </c>
      <c r="O101" s="10"/>
    </row>
    <row r="102" customFormat="false" ht="15" hidden="false" customHeight="false" outlineLevel="0" collapsed="false">
      <c r="A102" s="7" t="n">
        <v>101</v>
      </c>
      <c r="B102" s="7" t="s">
        <v>386</v>
      </c>
      <c r="C102" s="7" t="n">
        <v>2</v>
      </c>
      <c r="D102" s="7" t="s">
        <v>359</v>
      </c>
      <c r="E102" s="7" t="s">
        <v>360</v>
      </c>
      <c r="F102" s="8" t="s">
        <v>18</v>
      </c>
      <c r="G102" s="9" t="s">
        <v>387</v>
      </c>
      <c r="H102" s="10" t="s">
        <v>388</v>
      </c>
      <c r="I102" s="10" t="s">
        <v>389</v>
      </c>
      <c r="J102" s="10" t="s">
        <v>390</v>
      </c>
      <c r="K102" s="7" t="n">
        <v>1</v>
      </c>
      <c r="L102" s="7"/>
      <c r="M102" s="7"/>
      <c r="N102" s="8" t="s">
        <v>23</v>
      </c>
      <c r="O102" s="10"/>
    </row>
    <row r="103" customFormat="false" ht="15" hidden="false" customHeight="false" outlineLevel="0" collapsed="false">
      <c r="A103" s="7" t="n">
        <v>102</v>
      </c>
      <c r="B103" s="7" t="s">
        <v>391</v>
      </c>
      <c r="C103" s="7" t="n">
        <v>2</v>
      </c>
      <c r="D103" s="7" t="s">
        <v>359</v>
      </c>
      <c r="E103" s="7" t="s">
        <v>360</v>
      </c>
      <c r="F103" s="8" t="s">
        <v>18</v>
      </c>
      <c r="G103" s="9" t="s">
        <v>392</v>
      </c>
      <c r="H103" s="10" t="s">
        <v>393</v>
      </c>
      <c r="I103" s="10" t="s">
        <v>394</v>
      </c>
      <c r="J103" s="10" t="s">
        <v>64</v>
      </c>
      <c r="K103" s="7" t="n">
        <v>4</v>
      </c>
      <c r="L103" s="7"/>
      <c r="M103" s="7"/>
      <c r="N103" s="8" t="s">
        <v>23</v>
      </c>
      <c r="O103" s="10"/>
    </row>
    <row r="104" customFormat="false" ht="15" hidden="false" customHeight="false" outlineLevel="0" collapsed="false">
      <c r="A104" s="7" t="n">
        <v>103</v>
      </c>
      <c r="B104" s="7" t="s">
        <v>395</v>
      </c>
      <c r="C104" s="7" t="n">
        <v>2</v>
      </c>
      <c r="D104" s="7" t="s">
        <v>359</v>
      </c>
      <c r="E104" s="7" t="s">
        <v>360</v>
      </c>
      <c r="F104" s="8" t="s">
        <v>18</v>
      </c>
      <c r="G104" s="9" t="s">
        <v>396</v>
      </c>
      <c r="H104" s="10" t="s">
        <v>397</v>
      </c>
      <c r="I104" s="10" t="s">
        <v>398</v>
      </c>
      <c r="J104" s="10" t="s">
        <v>177</v>
      </c>
      <c r="K104" s="7" t="n">
        <v>2</v>
      </c>
      <c r="L104" s="7"/>
      <c r="M104" s="7"/>
      <c r="N104" s="8" t="s">
        <v>23</v>
      </c>
      <c r="O104" s="10"/>
    </row>
    <row r="105" customFormat="false" ht="15" hidden="false" customHeight="false" outlineLevel="0" collapsed="false">
      <c r="A105" s="7" t="n">
        <v>104</v>
      </c>
      <c r="B105" s="7" t="s">
        <v>399</v>
      </c>
      <c r="C105" s="7" t="n">
        <v>2</v>
      </c>
      <c r="D105" s="7" t="s">
        <v>359</v>
      </c>
      <c r="E105" s="7" t="s">
        <v>360</v>
      </c>
      <c r="F105" s="8" t="s">
        <v>18</v>
      </c>
      <c r="G105" s="9" t="s">
        <v>388</v>
      </c>
      <c r="H105" s="10" t="s">
        <v>387</v>
      </c>
      <c r="I105" s="10" t="s">
        <v>400</v>
      </c>
      <c r="J105" s="10" t="s">
        <v>42</v>
      </c>
      <c r="K105" s="7" t="n">
        <v>3</v>
      </c>
      <c r="L105" s="7"/>
      <c r="M105" s="7"/>
      <c r="N105" s="8" t="s">
        <v>23</v>
      </c>
      <c r="O105" s="10"/>
    </row>
    <row r="106" customFormat="false" ht="15" hidden="false" customHeight="false" outlineLevel="0" collapsed="false">
      <c r="A106" s="7" t="n">
        <v>105</v>
      </c>
      <c r="B106" s="7" t="s">
        <v>401</v>
      </c>
      <c r="C106" s="7" t="n">
        <v>2</v>
      </c>
      <c r="D106" s="7" t="s">
        <v>359</v>
      </c>
      <c r="E106" s="7" t="s">
        <v>360</v>
      </c>
      <c r="F106" s="8" t="s">
        <v>18</v>
      </c>
      <c r="G106" s="9" t="s">
        <v>402</v>
      </c>
      <c r="H106" s="10" t="s">
        <v>403</v>
      </c>
      <c r="I106" s="10" t="s">
        <v>151</v>
      </c>
      <c r="J106" s="10" t="s">
        <v>267</v>
      </c>
      <c r="K106" s="7" t="n">
        <v>4</v>
      </c>
      <c r="L106" s="7"/>
      <c r="M106" s="7"/>
      <c r="N106" s="8" t="s">
        <v>23</v>
      </c>
      <c r="O106" s="10"/>
    </row>
    <row r="107" customFormat="false" ht="15" hidden="false" customHeight="false" outlineLevel="0" collapsed="false">
      <c r="A107" s="7" t="n">
        <v>106</v>
      </c>
      <c r="B107" s="7" t="s">
        <v>404</v>
      </c>
      <c r="C107" s="7" t="n">
        <v>2</v>
      </c>
      <c r="D107" s="7" t="s">
        <v>359</v>
      </c>
      <c r="E107" s="7" t="s">
        <v>360</v>
      </c>
      <c r="F107" s="8" t="s">
        <v>18</v>
      </c>
      <c r="G107" s="9" t="s">
        <v>405</v>
      </c>
      <c r="H107" s="10" t="s">
        <v>406</v>
      </c>
      <c r="I107" s="10" t="s">
        <v>407</v>
      </c>
      <c r="J107" s="10" t="s">
        <v>193</v>
      </c>
      <c r="K107" s="7" t="n">
        <v>2</v>
      </c>
      <c r="L107" s="7"/>
      <c r="M107" s="7"/>
      <c r="N107" s="8" t="s">
        <v>23</v>
      </c>
      <c r="O107" s="10"/>
    </row>
    <row r="108" customFormat="false" ht="15" hidden="false" customHeight="false" outlineLevel="0" collapsed="false">
      <c r="A108" s="7" t="n">
        <v>107</v>
      </c>
      <c r="B108" s="7" t="s">
        <v>408</v>
      </c>
      <c r="C108" s="7" t="n">
        <v>2</v>
      </c>
      <c r="D108" s="7" t="s">
        <v>359</v>
      </c>
      <c r="E108" s="7" t="s">
        <v>360</v>
      </c>
      <c r="F108" s="8" t="s">
        <v>80</v>
      </c>
      <c r="G108" s="9" t="s">
        <v>235</v>
      </c>
      <c r="H108" s="10" t="s">
        <v>234</v>
      </c>
      <c r="I108" s="10" t="s">
        <v>333</v>
      </c>
      <c r="J108" s="10" t="s">
        <v>100</v>
      </c>
      <c r="K108" s="7" t="n">
        <v>3</v>
      </c>
      <c r="L108" s="7"/>
      <c r="M108" s="7"/>
      <c r="N108" s="8" t="s">
        <v>23</v>
      </c>
      <c r="O108" s="10"/>
    </row>
    <row r="109" customFormat="false" ht="15" hidden="false" customHeight="false" outlineLevel="0" collapsed="false">
      <c r="A109" s="7" t="n">
        <v>108</v>
      </c>
      <c r="B109" s="7" t="s">
        <v>409</v>
      </c>
      <c r="C109" s="7" t="n">
        <v>2</v>
      </c>
      <c r="D109" s="7" t="s">
        <v>359</v>
      </c>
      <c r="E109" s="7" t="s">
        <v>360</v>
      </c>
      <c r="F109" s="8" t="s">
        <v>80</v>
      </c>
      <c r="G109" s="9" t="s">
        <v>410</v>
      </c>
      <c r="H109" s="10" t="s">
        <v>411</v>
      </c>
      <c r="I109" s="10" t="s">
        <v>412</v>
      </c>
      <c r="J109" s="10" t="s">
        <v>103</v>
      </c>
      <c r="K109" s="7" t="n">
        <v>1</v>
      </c>
      <c r="L109" s="7"/>
      <c r="M109" s="7"/>
      <c r="N109" s="8" t="s">
        <v>23</v>
      </c>
      <c r="O109" s="10"/>
    </row>
    <row r="110" customFormat="false" ht="15" hidden="false" customHeight="false" outlineLevel="0" collapsed="false">
      <c r="A110" s="7" t="n">
        <v>109</v>
      </c>
      <c r="B110" s="7" t="s">
        <v>413</v>
      </c>
      <c r="C110" s="7" t="n">
        <v>2</v>
      </c>
      <c r="D110" s="7" t="s">
        <v>359</v>
      </c>
      <c r="E110" s="7" t="s">
        <v>360</v>
      </c>
      <c r="F110" s="8" t="s">
        <v>80</v>
      </c>
      <c r="G110" s="9" t="s">
        <v>414</v>
      </c>
      <c r="H110" s="10" t="s">
        <v>415</v>
      </c>
      <c r="I110" s="10" t="s">
        <v>416</v>
      </c>
      <c r="J110" s="10" t="s">
        <v>340</v>
      </c>
      <c r="K110" s="7" t="n">
        <v>2</v>
      </c>
      <c r="L110" s="7"/>
      <c r="M110" s="7"/>
      <c r="N110" s="8" t="s">
        <v>23</v>
      </c>
      <c r="O110" s="10"/>
    </row>
    <row r="111" customFormat="false" ht="15" hidden="false" customHeight="false" outlineLevel="0" collapsed="false">
      <c r="A111" s="7" t="n">
        <v>110</v>
      </c>
      <c r="B111" s="7" t="s">
        <v>417</v>
      </c>
      <c r="C111" s="7" t="n">
        <v>2</v>
      </c>
      <c r="D111" s="7" t="s">
        <v>359</v>
      </c>
      <c r="E111" s="7" t="s">
        <v>360</v>
      </c>
      <c r="F111" s="8" t="s">
        <v>80</v>
      </c>
      <c r="G111" s="9" t="s">
        <v>418</v>
      </c>
      <c r="H111" s="10" t="s">
        <v>419</v>
      </c>
      <c r="I111" s="10" t="s">
        <v>336</v>
      </c>
      <c r="J111" s="10" t="s">
        <v>100</v>
      </c>
      <c r="K111" s="7" t="n">
        <v>3</v>
      </c>
      <c r="L111" s="7"/>
      <c r="M111" s="7"/>
      <c r="N111" s="8" t="s">
        <v>23</v>
      </c>
      <c r="O111" s="10"/>
    </row>
    <row r="112" customFormat="false" ht="15" hidden="false" customHeight="false" outlineLevel="0" collapsed="false">
      <c r="A112" s="7" t="n">
        <v>111</v>
      </c>
      <c r="B112" s="7" t="s">
        <v>420</v>
      </c>
      <c r="C112" s="7" t="n">
        <v>2</v>
      </c>
      <c r="D112" s="7" t="s">
        <v>359</v>
      </c>
      <c r="E112" s="7" t="s">
        <v>360</v>
      </c>
      <c r="F112" s="8" t="s">
        <v>80</v>
      </c>
      <c r="G112" s="9" t="s">
        <v>421</v>
      </c>
      <c r="H112" s="10" t="s">
        <v>422</v>
      </c>
      <c r="I112" s="10" t="s">
        <v>423</v>
      </c>
      <c r="J112" s="10" t="s">
        <v>424</v>
      </c>
      <c r="K112" s="7" t="n">
        <v>1</v>
      </c>
      <c r="L112" s="7"/>
      <c r="M112" s="7"/>
      <c r="N112" s="8" t="s">
        <v>23</v>
      </c>
      <c r="O112" s="10"/>
    </row>
    <row r="113" customFormat="false" ht="15" hidden="false" customHeight="false" outlineLevel="0" collapsed="false">
      <c r="A113" s="7" t="n">
        <v>112</v>
      </c>
      <c r="B113" s="7" t="s">
        <v>425</v>
      </c>
      <c r="C113" s="7" t="n">
        <v>2</v>
      </c>
      <c r="D113" s="7" t="s">
        <v>359</v>
      </c>
      <c r="E113" s="7" t="s">
        <v>360</v>
      </c>
      <c r="F113" s="8" t="s">
        <v>80</v>
      </c>
      <c r="G113" s="9" t="s">
        <v>426</v>
      </c>
      <c r="H113" s="10" t="s">
        <v>427</v>
      </c>
      <c r="I113" s="10" t="s">
        <v>428</v>
      </c>
      <c r="J113" s="10" t="s">
        <v>429</v>
      </c>
      <c r="K113" s="7" t="n">
        <v>4</v>
      </c>
      <c r="L113" s="7"/>
      <c r="M113" s="7"/>
      <c r="N113" s="8" t="s">
        <v>23</v>
      </c>
      <c r="O113" s="10"/>
    </row>
    <row r="114" customFormat="false" ht="15" hidden="false" customHeight="false" outlineLevel="0" collapsed="false">
      <c r="A114" s="7" t="n">
        <v>113</v>
      </c>
      <c r="B114" s="7" t="s">
        <v>430</v>
      </c>
      <c r="C114" s="7" t="n">
        <v>2</v>
      </c>
      <c r="D114" s="7" t="s">
        <v>359</v>
      </c>
      <c r="E114" s="7" t="s">
        <v>360</v>
      </c>
      <c r="F114" s="8" t="s">
        <v>80</v>
      </c>
      <c r="G114" s="9" t="s">
        <v>431</v>
      </c>
      <c r="H114" s="10" t="s">
        <v>432</v>
      </c>
      <c r="I114" s="10" t="s">
        <v>433</v>
      </c>
      <c r="J114" s="10" t="s">
        <v>434</v>
      </c>
      <c r="K114" s="7" t="n">
        <v>3</v>
      </c>
      <c r="L114" s="7"/>
      <c r="M114" s="7"/>
      <c r="N114" s="8" t="s">
        <v>23</v>
      </c>
      <c r="O114" s="10"/>
    </row>
    <row r="115" customFormat="false" ht="15" hidden="false" customHeight="false" outlineLevel="0" collapsed="false">
      <c r="A115" s="7" t="n">
        <v>114</v>
      </c>
      <c r="B115" s="7" t="s">
        <v>435</v>
      </c>
      <c r="C115" s="7" t="n">
        <v>2</v>
      </c>
      <c r="D115" s="7" t="s">
        <v>359</v>
      </c>
      <c r="E115" s="7" t="s">
        <v>360</v>
      </c>
      <c r="F115" s="8" t="s">
        <v>80</v>
      </c>
      <c r="G115" s="9" t="s">
        <v>436</v>
      </c>
      <c r="H115" s="10" t="s">
        <v>437</v>
      </c>
      <c r="I115" s="10" t="s">
        <v>438</v>
      </c>
      <c r="J115" s="10" t="s">
        <v>439</v>
      </c>
      <c r="K115" s="7" t="n">
        <v>1</v>
      </c>
      <c r="L115" s="7"/>
      <c r="M115" s="7"/>
      <c r="N115" s="8" t="s">
        <v>23</v>
      </c>
      <c r="O115" s="10"/>
    </row>
    <row r="116" customFormat="false" ht="15" hidden="false" customHeight="false" outlineLevel="0" collapsed="false">
      <c r="A116" s="7" t="n">
        <v>115</v>
      </c>
      <c r="B116" s="7" t="s">
        <v>440</v>
      </c>
      <c r="C116" s="7" t="n">
        <v>2</v>
      </c>
      <c r="D116" s="7" t="s">
        <v>359</v>
      </c>
      <c r="E116" s="7" t="s">
        <v>360</v>
      </c>
      <c r="F116" s="8" t="s">
        <v>80</v>
      </c>
      <c r="G116" s="9" t="s">
        <v>415</v>
      </c>
      <c r="H116" s="10" t="s">
        <v>201</v>
      </c>
      <c r="I116" s="10" t="s">
        <v>441</v>
      </c>
      <c r="J116" s="10" t="s">
        <v>88</v>
      </c>
      <c r="K116" s="7" t="n">
        <v>4</v>
      </c>
      <c r="L116" s="7"/>
      <c r="M116" s="7"/>
      <c r="N116" s="8" t="s">
        <v>23</v>
      </c>
      <c r="O116" s="10"/>
    </row>
    <row r="117" customFormat="false" ht="15" hidden="false" customHeight="false" outlineLevel="0" collapsed="false">
      <c r="A117" s="7" t="n">
        <v>116</v>
      </c>
      <c r="B117" s="7" t="s">
        <v>442</v>
      </c>
      <c r="C117" s="7" t="n">
        <v>2</v>
      </c>
      <c r="D117" s="7" t="s">
        <v>359</v>
      </c>
      <c r="E117" s="7" t="s">
        <v>360</v>
      </c>
      <c r="F117" s="8" t="s">
        <v>117</v>
      </c>
      <c r="G117" s="9" t="s">
        <v>443</v>
      </c>
      <c r="H117" s="10" t="s">
        <v>444</v>
      </c>
      <c r="I117" s="10" t="s">
        <v>445</v>
      </c>
      <c r="J117" s="10" t="s">
        <v>348</v>
      </c>
      <c r="K117" s="7" t="n">
        <v>2</v>
      </c>
      <c r="L117" s="7"/>
      <c r="M117" s="7"/>
      <c r="N117" s="8" t="s">
        <v>23</v>
      </c>
      <c r="O117" s="10"/>
    </row>
    <row r="118" customFormat="false" ht="15" hidden="false" customHeight="false" outlineLevel="0" collapsed="false">
      <c r="A118" s="7" t="n">
        <v>117</v>
      </c>
      <c r="B118" s="7" t="s">
        <v>446</v>
      </c>
      <c r="C118" s="7" t="n">
        <v>2</v>
      </c>
      <c r="D118" s="7" t="s">
        <v>359</v>
      </c>
      <c r="E118" s="7" t="s">
        <v>360</v>
      </c>
      <c r="F118" s="8" t="s">
        <v>117</v>
      </c>
      <c r="G118" s="9" t="s">
        <v>447</v>
      </c>
      <c r="H118" s="10" t="s">
        <v>448</v>
      </c>
      <c r="I118" s="10" t="s">
        <v>353</v>
      </c>
      <c r="J118" s="10" t="s">
        <v>344</v>
      </c>
      <c r="K118" s="7" t="n">
        <v>1</v>
      </c>
      <c r="L118" s="7"/>
      <c r="M118" s="7"/>
      <c r="N118" s="8" t="s">
        <v>23</v>
      </c>
      <c r="O118" s="10"/>
    </row>
    <row r="119" customFormat="false" ht="15" hidden="false" customHeight="false" outlineLevel="0" collapsed="false">
      <c r="A119" s="7" t="n">
        <v>118</v>
      </c>
      <c r="B119" s="7" t="s">
        <v>449</v>
      </c>
      <c r="C119" s="7" t="n">
        <v>2</v>
      </c>
      <c r="D119" s="7" t="s">
        <v>359</v>
      </c>
      <c r="E119" s="7" t="s">
        <v>360</v>
      </c>
      <c r="F119" s="8" t="s">
        <v>117</v>
      </c>
      <c r="G119" s="9" t="s">
        <v>450</v>
      </c>
      <c r="H119" s="10" t="s">
        <v>451</v>
      </c>
      <c r="I119" s="10" t="s">
        <v>452</v>
      </c>
      <c r="J119" s="10" t="s">
        <v>355</v>
      </c>
      <c r="K119" s="7" t="n">
        <v>4</v>
      </c>
      <c r="L119" s="7"/>
      <c r="M119" s="7"/>
      <c r="N119" s="8" t="s">
        <v>23</v>
      </c>
      <c r="O119" s="10"/>
    </row>
    <row r="120" customFormat="false" ht="15" hidden="false" customHeight="false" outlineLevel="0" collapsed="false">
      <c r="A120" s="3" t="n">
        <v>119</v>
      </c>
      <c r="B120" s="3" t="s">
        <v>453</v>
      </c>
      <c r="C120" s="3" t="n">
        <v>2</v>
      </c>
      <c r="D120" s="3" t="s">
        <v>454</v>
      </c>
      <c r="E120" s="3" t="s">
        <v>455</v>
      </c>
      <c r="F120" s="4" t="s">
        <v>18</v>
      </c>
      <c r="G120" s="5" t="s">
        <v>456</v>
      </c>
      <c r="H120" s="6" t="s">
        <v>181</v>
      </c>
      <c r="I120" s="6" t="s">
        <v>457</v>
      </c>
      <c r="J120" s="6" t="s">
        <v>458</v>
      </c>
      <c r="K120" s="3" t="n">
        <v>2</v>
      </c>
      <c r="L120" s="3"/>
      <c r="M120" s="3"/>
      <c r="N120" s="4" t="s">
        <v>23</v>
      </c>
      <c r="O120" s="6"/>
    </row>
    <row r="121" customFormat="false" ht="15" hidden="false" customHeight="false" outlineLevel="0" collapsed="false">
      <c r="A121" s="3" t="n">
        <v>120</v>
      </c>
      <c r="B121" s="3" t="s">
        <v>459</v>
      </c>
      <c r="C121" s="3" t="n">
        <v>2</v>
      </c>
      <c r="D121" s="3" t="s">
        <v>454</v>
      </c>
      <c r="E121" s="3" t="s">
        <v>455</v>
      </c>
      <c r="F121" s="4" t="s">
        <v>18</v>
      </c>
      <c r="G121" s="5" t="s">
        <v>460</v>
      </c>
      <c r="H121" s="6" t="s">
        <v>387</v>
      </c>
      <c r="I121" s="6" t="s">
        <v>461</v>
      </c>
      <c r="J121" s="6" t="s">
        <v>380</v>
      </c>
      <c r="K121" s="3" t="n">
        <v>3</v>
      </c>
      <c r="L121" s="3"/>
      <c r="M121" s="3"/>
      <c r="N121" s="4" t="s">
        <v>23</v>
      </c>
      <c r="O121" s="6"/>
    </row>
    <row r="122" customFormat="false" ht="15" hidden="false" customHeight="false" outlineLevel="0" collapsed="false">
      <c r="A122" s="3" t="n">
        <v>121</v>
      </c>
      <c r="B122" s="3" t="s">
        <v>462</v>
      </c>
      <c r="C122" s="3" t="n">
        <v>2</v>
      </c>
      <c r="D122" s="3" t="s">
        <v>454</v>
      </c>
      <c r="E122" s="3" t="s">
        <v>455</v>
      </c>
      <c r="F122" s="4" t="s">
        <v>18</v>
      </c>
      <c r="G122" s="5" t="s">
        <v>463</v>
      </c>
      <c r="H122" s="6" t="s">
        <v>464</v>
      </c>
      <c r="I122" s="6" t="s">
        <v>465</v>
      </c>
      <c r="J122" s="6" t="s">
        <v>458</v>
      </c>
      <c r="K122" s="3" t="n">
        <v>4</v>
      </c>
      <c r="L122" s="3"/>
      <c r="M122" s="3"/>
      <c r="N122" s="4" t="s">
        <v>23</v>
      </c>
      <c r="O122" s="6"/>
    </row>
    <row r="123" customFormat="false" ht="15" hidden="false" customHeight="false" outlineLevel="0" collapsed="false">
      <c r="A123" s="3" t="n">
        <v>122</v>
      </c>
      <c r="B123" s="3" t="s">
        <v>466</v>
      </c>
      <c r="C123" s="3" t="n">
        <v>2</v>
      </c>
      <c r="D123" s="3" t="s">
        <v>454</v>
      </c>
      <c r="E123" s="3" t="s">
        <v>455</v>
      </c>
      <c r="F123" s="4" t="s">
        <v>18</v>
      </c>
      <c r="G123" s="5" t="s">
        <v>467</v>
      </c>
      <c r="H123" s="6" t="s">
        <v>468</v>
      </c>
      <c r="I123" s="6" t="s">
        <v>469</v>
      </c>
      <c r="J123" s="6" t="s">
        <v>62</v>
      </c>
      <c r="K123" s="3" t="n">
        <v>2</v>
      </c>
      <c r="L123" s="3"/>
      <c r="M123" s="3"/>
      <c r="N123" s="4" t="s">
        <v>23</v>
      </c>
      <c r="O123" s="6"/>
    </row>
    <row r="124" customFormat="false" ht="15" hidden="false" customHeight="false" outlineLevel="0" collapsed="false">
      <c r="A124" s="3" t="n">
        <v>123</v>
      </c>
      <c r="B124" s="3" t="s">
        <v>470</v>
      </c>
      <c r="C124" s="3" t="n">
        <v>2</v>
      </c>
      <c r="D124" s="3" t="s">
        <v>454</v>
      </c>
      <c r="E124" s="3" t="s">
        <v>455</v>
      </c>
      <c r="F124" s="4" t="s">
        <v>18</v>
      </c>
      <c r="G124" s="5" t="s">
        <v>471</v>
      </c>
      <c r="H124" s="6" t="s">
        <v>472</v>
      </c>
      <c r="I124" s="6" t="s">
        <v>473</v>
      </c>
      <c r="J124" s="6" t="s">
        <v>22</v>
      </c>
      <c r="K124" s="3" t="n">
        <v>3</v>
      </c>
      <c r="L124" s="3"/>
      <c r="M124" s="3"/>
      <c r="N124" s="4" t="s">
        <v>23</v>
      </c>
      <c r="O124" s="6"/>
    </row>
    <row r="125" customFormat="false" ht="15" hidden="false" customHeight="false" outlineLevel="0" collapsed="false">
      <c r="A125" s="3" t="n">
        <v>124</v>
      </c>
      <c r="B125" s="3" t="s">
        <v>474</v>
      </c>
      <c r="C125" s="3" t="n">
        <v>2</v>
      </c>
      <c r="D125" s="3" t="s">
        <v>454</v>
      </c>
      <c r="E125" s="3" t="s">
        <v>455</v>
      </c>
      <c r="F125" s="4" t="s">
        <v>18</v>
      </c>
      <c r="G125" s="5" t="s">
        <v>475</v>
      </c>
      <c r="H125" s="6" t="s">
        <v>476</v>
      </c>
      <c r="I125" s="6" t="s">
        <v>477</v>
      </c>
      <c r="J125" s="6" t="s">
        <v>52</v>
      </c>
      <c r="K125" s="3" t="n">
        <v>1</v>
      </c>
      <c r="L125" s="3"/>
      <c r="M125" s="3"/>
      <c r="N125" s="4" t="s">
        <v>23</v>
      </c>
      <c r="O125" s="6"/>
    </row>
    <row r="126" customFormat="false" ht="15" hidden="false" customHeight="false" outlineLevel="0" collapsed="false">
      <c r="A126" s="3" t="n">
        <v>125</v>
      </c>
      <c r="B126" s="3" t="s">
        <v>478</v>
      </c>
      <c r="C126" s="3" t="n">
        <v>2</v>
      </c>
      <c r="D126" s="3" t="s">
        <v>454</v>
      </c>
      <c r="E126" s="3" t="s">
        <v>455</v>
      </c>
      <c r="F126" s="4" t="s">
        <v>18</v>
      </c>
      <c r="G126" s="5" t="s">
        <v>479</v>
      </c>
      <c r="H126" s="6" t="s">
        <v>480</v>
      </c>
      <c r="I126" s="6" t="s">
        <v>481</v>
      </c>
      <c r="J126" s="6" t="s">
        <v>193</v>
      </c>
      <c r="K126" s="3" t="n">
        <v>2</v>
      </c>
      <c r="L126" s="3"/>
      <c r="M126" s="3"/>
      <c r="N126" s="4" t="s">
        <v>23</v>
      </c>
      <c r="O126" s="6"/>
    </row>
    <row r="127" customFormat="false" ht="15" hidden="false" customHeight="false" outlineLevel="0" collapsed="false">
      <c r="A127" s="3" t="n">
        <v>126</v>
      </c>
      <c r="B127" s="3" t="s">
        <v>482</v>
      </c>
      <c r="C127" s="3" t="n">
        <v>2</v>
      </c>
      <c r="D127" s="3" t="s">
        <v>454</v>
      </c>
      <c r="E127" s="3" t="s">
        <v>455</v>
      </c>
      <c r="F127" s="4" t="s">
        <v>18</v>
      </c>
      <c r="G127" s="5" t="s">
        <v>483</v>
      </c>
      <c r="H127" s="6" t="s">
        <v>484</v>
      </c>
      <c r="I127" s="6" t="s">
        <v>485</v>
      </c>
      <c r="J127" s="6" t="s">
        <v>150</v>
      </c>
      <c r="K127" s="3" t="n">
        <v>3</v>
      </c>
      <c r="L127" s="3"/>
      <c r="M127" s="3"/>
      <c r="N127" s="4" t="s">
        <v>23</v>
      </c>
      <c r="O127" s="6"/>
    </row>
    <row r="128" customFormat="false" ht="15" hidden="false" customHeight="false" outlineLevel="0" collapsed="false">
      <c r="A128" s="3" t="n">
        <v>127</v>
      </c>
      <c r="B128" s="3" t="s">
        <v>486</v>
      </c>
      <c r="C128" s="3" t="n">
        <v>2</v>
      </c>
      <c r="D128" s="3" t="s">
        <v>454</v>
      </c>
      <c r="E128" s="3" t="s">
        <v>455</v>
      </c>
      <c r="F128" s="4" t="s">
        <v>18</v>
      </c>
      <c r="G128" s="5" t="s">
        <v>487</v>
      </c>
      <c r="H128" s="6" t="s">
        <v>488</v>
      </c>
      <c r="I128" s="6" t="s">
        <v>489</v>
      </c>
      <c r="J128" s="6" t="s">
        <v>490</v>
      </c>
      <c r="K128" s="3" t="n">
        <v>1</v>
      </c>
      <c r="L128" s="3"/>
      <c r="M128" s="3"/>
      <c r="N128" s="4" t="s">
        <v>23</v>
      </c>
      <c r="O128" s="6"/>
    </row>
    <row r="129" customFormat="false" ht="15" hidden="false" customHeight="false" outlineLevel="0" collapsed="false">
      <c r="A129" s="3" t="n">
        <v>128</v>
      </c>
      <c r="B129" s="3" t="s">
        <v>491</v>
      </c>
      <c r="C129" s="3" t="n">
        <v>2</v>
      </c>
      <c r="D129" s="3" t="s">
        <v>454</v>
      </c>
      <c r="E129" s="3" t="s">
        <v>455</v>
      </c>
      <c r="F129" s="4" t="s">
        <v>80</v>
      </c>
      <c r="G129" s="5" t="s">
        <v>492</v>
      </c>
      <c r="H129" s="6" t="s">
        <v>493</v>
      </c>
      <c r="I129" s="6" t="s">
        <v>432</v>
      </c>
      <c r="J129" s="6" t="s">
        <v>418</v>
      </c>
      <c r="K129" s="3" t="n">
        <v>4</v>
      </c>
      <c r="L129" s="3"/>
      <c r="M129" s="3"/>
      <c r="N129" s="4" t="s">
        <v>23</v>
      </c>
      <c r="O129" s="6"/>
    </row>
    <row r="130" customFormat="false" ht="15" hidden="false" customHeight="false" outlineLevel="0" collapsed="false">
      <c r="A130" s="3" t="n">
        <v>129</v>
      </c>
      <c r="B130" s="3" t="s">
        <v>494</v>
      </c>
      <c r="C130" s="3" t="n">
        <v>2</v>
      </c>
      <c r="D130" s="3" t="s">
        <v>454</v>
      </c>
      <c r="E130" s="3" t="s">
        <v>455</v>
      </c>
      <c r="F130" s="4" t="s">
        <v>80</v>
      </c>
      <c r="G130" s="5" t="s">
        <v>495</v>
      </c>
      <c r="H130" s="6" t="s">
        <v>496</v>
      </c>
      <c r="I130" s="6" t="s">
        <v>415</v>
      </c>
      <c r="J130" s="6" t="s">
        <v>421</v>
      </c>
      <c r="K130" s="3" t="n">
        <v>3</v>
      </c>
      <c r="L130" s="3"/>
      <c r="M130" s="3"/>
      <c r="N130" s="4" t="s">
        <v>23</v>
      </c>
      <c r="O130" s="6"/>
    </row>
    <row r="131" customFormat="false" ht="15" hidden="false" customHeight="false" outlineLevel="0" collapsed="false">
      <c r="A131" s="3" t="n">
        <v>130</v>
      </c>
      <c r="B131" s="3" t="s">
        <v>497</v>
      </c>
      <c r="C131" s="3" t="n">
        <v>2</v>
      </c>
      <c r="D131" s="3" t="s">
        <v>454</v>
      </c>
      <c r="E131" s="3" t="s">
        <v>455</v>
      </c>
      <c r="F131" s="4" t="s">
        <v>80</v>
      </c>
      <c r="G131" s="5" t="s">
        <v>498</v>
      </c>
      <c r="H131" s="6" t="s">
        <v>499</v>
      </c>
      <c r="I131" s="6" t="s">
        <v>434</v>
      </c>
      <c r="J131" s="6" t="s">
        <v>426</v>
      </c>
      <c r="K131" s="3" t="n">
        <v>1</v>
      </c>
      <c r="L131" s="3"/>
      <c r="M131" s="3"/>
      <c r="N131" s="4" t="s">
        <v>23</v>
      </c>
      <c r="O131" s="6"/>
    </row>
    <row r="132" customFormat="false" ht="15" hidden="false" customHeight="false" outlineLevel="0" collapsed="false">
      <c r="A132" s="3" t="n">
        <v>131</v>
      </c>
      <c r="B132" s="3" t="s">
        <v>500</v>
      </c>
      <c r="C132" s="3" t="n">
        <v>2</v>
      </c>
      <c r="D132" s="3" t="s">
        <v>454</v>
      </c>
      <c r="E132" s="3" t="s">
        <v>455</v>
      </c>
      <c r="F132" s="4" t="s">
        <v>80</v>
      </c>
      <c r="G132" s="5" t="s">
        <v>501</v>
      </c>
      <c r="H132" s="6" t="s">
        <v>423</v>
      </c>
      <c r="I132" s="6" t="s">
        <v>502</v>
      </c>
      <c r="J132" s="6" t="s">
        <v>431</v>
      </c>
      <c r="K132" s="3" t="n">
        <v>4</v>
      </c>
      <c r="L132" s="3"/>
      <c r="M132" s="3"/>
      <c r="N132" s="4" t="s">
        <v>23</v>
      </c>
      <c r="O132" s="6"/>
    </row>
    <row r="133" customFormat="false" ht="15" hidden="false" customHeight="false" outlineLevel="0" collapsed="false">
      <c r="A133" s="3" t="n">
        <v>132</v>
      </c>
      <c r="B133" s="3" t="s">
        <v>503</v>
      </c>
      <c r="C133" s="3" t="n">
        <v>2</v>
      </c>
      <c r="D133" s="3" t="s">
        <v>454</v>
      </c>
      <c r="E133" s="3" t="s">
        <v>455</v>
      </c>
      <c r="F133" s="4" t="s">
        <v>80</v>
      </c>
      <c r="G133" s="5" t="s">
        <v>504</v>
      </c>
      <c r="H133" s="6" t="s">
        <v>505</v>
      </c>
      <c r="I133" s="6" t="s">
        <v>506</v>
      </c>
      <c r="J133" s="6" t="s">
        <v>492</v>
      </c>
      <c r="K133" s="3" t="n">
        <v>2</v>
      </c>
      <c r="L133" s="3"/>
      <c r="M133" s="3"/>
      <c r="N133" s="4" t="s">
        <v>23</v>
      </c>
      <c r="O133" s="6"/>
    </row>
    <row r="134" customFormat="false" ht="15" hidden="false" customHeight="false" outlineLevel="0" collapsed="false">
      <c r="A134" s="3" t="n">
        <v>133</v>
      </c>
      <c r="B134" s="3" t="s">
        <v>507</v>
      </c>
      <c r="C134" s="3" t="n">
        <v>2</v>
      </c>
      <c r="D134" s="3" t="s">
        <v>454</v>
      </c>
      <c r="E134" s="3" t="s">
        <v>455</v>
      </c>
      <c r="F134" s="4" t="s">
        <v>80</v>
      </c>
      <c r="G134" s="5" t="s">
        <v>508</v>
      </c>
      <c r="H134" s="6" t="s">
        <v>509</v>
      </c>
      <c r="I134" s="6" t="s">
        <v>336</v>
      </c>
      <c r="J134" s="6" t="s">
        <v>495</v>
      </c>
      <c r="K134" s="3" t="n">
        <v>1</v>
      </c>
      <c r="L134" s="3"/>
      <c r="M134" s="3"/>
      <c r="N134" s="4" t="s">
        <v>23</v>
      </c>
      <c r="O134" s="6"/>
    </row>
    <row r="135" customFormat="false" ht="15" hidden="false" customHeight="false" outlineLevel="0" collapsed="false">
      <c r="A135" s="3" t="n">
        <v>134</v>
      </c>
      <c r="B135" s="3" t="s">
        <v>510</v>
      </c>
      <c r="C135" s="3" t="n">
        <v>2</v>
      </c>
      <c r="D135" s="3" t="s">
        <v>454</v>
      </c>
      <c r="E135" s="3" t="s">
        <v>455</v>
      </c>
      <c r="F135" s="4" t="s">
        <v>117</v>
      </c>
      <c r="G135" s="5" t="s">
        <v>511</v>
      </c>
      <c r="H135" s="6" t="s">
        <v>512</v>
      </c>
      <c r="I135" s="6" t="s">
        <v>303</v>
      </c>
      <c r="J135" s="6" t="s">
        <v>348</v>
      </c>
      <c r="K135" s="3" t="n">
        <v>4</v>
      </c>
      <c r="L135" s="3"/>
      <c r="M135" s="3"/>
      <c r="N135" s="4" t="s">
        <v>23</v>
      </c>
      <c r="O135" s="6"/>
    </row>
    <row r="136" customFormat="false" ht="15" hidden="false" customHeight="false" outlineLevel="0" collapsed="false">
      <c r="A136" s="3" t="n">
        <v>135</v>
      </c>
      <c r="B136" s="3" t="s">
        <v>513</v>
      </c>
      <c r="C136" s="3" t="n">
        <v>2</v>
      </c>
      <c r="D136" s="3" t="s">
        <v>454</v>
      </c>
      <c r="E136" s="3" t="s">
        <v>455</v>
      </c>
      <c r="F136" s="4" t="s">
        <v>117</v>
      </c>
      <c r="G136" s="5" t="s">
        <v>512</v>
      </c>
      <c r="H136" s="6" t="s">
        <v>511</v>
      </c>
      <c r="I136" s="6" t="s">
        <v>514</v>
      </c>
      <c r="J136" s="6" t="s">
        <v>344</v>
      </c>
      <c r="K136" s="3" t="n">
        <v>2</v>
      </c>
      <c r="L136" s="3"/>
      <c r="M136" s="3"/>
      <c r="N136" s="4" t="s">
        <v>23</v>
      </c>
      <c r="O136" s="6"/>
    </row>
    <row r="137" customFormat="false" ht="15" hidden="false" customHeight="false" outlineLevel="0" collapsed="false">
      <c r="A137" s="3" t="n">
        <v>136</v>
      </c>
      <c r="B137" s="3" t="s">
        <v>515</v>
      </c>
      <c r="C137" s="3" t="n">
        <v>2</v>
      </c>
      <c r="D137" s="3" t="s">
        <v>454</v>
      </c>
      <c r="E137" s="3" t="s">
        <v>455</v>
      </c>
      <c r="F137" s="4" t="s">
        <v>117</v>
      </c>
      <c r="G137" s="5" t="s">
        <v>516</v>
      </c>
      <c r="H137" s="6" t="s">
        <v>517</v>
      </c>
      <c r="I137" s="6" t="s">
        <v>518</v>
      </c>
      <c r="J137" s="6" t="s">
        <v>348</v>
      </c>
      <c r="K137" s="3" t="n">
        <v>3</v>
      </c>
      <c r="L137" s="3"/>
      <c r="M137" s="3"/>
      <c r="N137" s="4" t="s">
        <v>23</v>
      </c>
      <c r="O137" s="6"/>
    </row>
    <row r="138" customFormat="false" ht="15" hidden="false" customHeight="false" outlineLevel="0" collapsed="false">
      <c r="A138" s="7" t="n">
        <v>137</v>
      </c>
      <c r="B138" s="7" t="s">
        <v>519</v>
      </c>
      <c r="C138" s="7" t="n">
        <v>2</v>
      </c>
      <c r="D138" s="7" t="s">
        <v>520</v>
      </c>
      <c r="E138" s="7" t="s">
        <v>521</v>
      </c>
      <c r="F138" s="8" t="s">
        <v>18</v>
      </c>
      <c r="G138" s="9" t="s">
        <v>522</v>
      </c>
      <c r="H138" s="10" t="s">
        <v>272</v>
      </c>
      <c r="I138" s="10" t="s">
        <v>20</v>
      </c>
      <c r="J138" s="10" t="s">
        <v>153</v>
      </c>
      <c r="K138" s="7" t="n">
        <v>4</v>
      </c>
      <c r="L138" s="7"/>
      <c r="M138" s="7"/>
      <c r="N138" s="8" t="s">
        <v>23</v>
      </c>
      <c r="O138" s="10"/>
    </row>
    <row r="139" customFormat="false" ht="15" hidden="false" customHeight="false" outlineLevel="0" collapsed="false">
      <c r="A139" s="7" t="n">
        <v>138</v>
      </c>
      <c r="B139" s="7" t="s">
        <v>523</v>
      </c>
      <c r="C139" s="7" t="n">
        <v>2</v>
      </c>
      <c r="D139" s="7" t="s">
        <v>520</v>
      </c>
      <c r="E139" s="7" t="s">
        <v>521</v>
      </c>
      <c r="F139" s="8" t="s">
        <v>18</v>
      </c>
      <c r="G139" s="9" t="s">
        <v>524</v>
      </c>
      <c r="H139" s="10" t="s">
        <v>525</v>
      </c>
      <c r="I139" s="10" t="s">
        <v>526</v>
      </c>
      <c r="J139" s="10" t="s">
        <v>46</v>
      </c>
      <c r="K139" s="7" t="n">
        <v>2</v>
      </c>
      <c r="L139" s="7"/>
      <c r="M139" s="7"/>
      <c r="N139" s="8" t="s">
        <v>23</v>
      </c>
      <c r="O139" s="10"/>
    </row>
    <row r="140" customFormat="false" ht="15" hidden="false" customHeight="false" outlineLevel="0" collapsed="false">
      <c r="A140" s="7" t="n">
        <v>139</v>
      </c>
      <c r="B140" s="7" t="s">
        <v>527</v>
      </c>
      <c r="C140" s="7" t="n">
        <v>2</v>
      </c>
      <c r="D140" s="7" t="s">
        <v>520</v>
      </c>
      <c r="E140" s="7" t="s">
        <v>521</v>
      </c>
      <c r="F140" s="8" t="s">
        <v>18</v>
      </c>
      <c r="G140" s="9" t="s">
        <v>528</v>
      </c>
      <c r="H140" s="10" t="s">
        <v>529</v>
      </c>
      <c r="I140" s="10" t="s">
        <v>530</v>
      </c>
      <c r="J140" s="10" t="s">
        <v>531</v>
      </c>
      <c r="K140" s="7" t="n">
        <v>3</v>
      </c>
      <c r="L140" s="7"/>
      <c r="M140" s="7"/>
      <c r="N140" s="8" t="s">
        <v>23</v>
      </c>
      <c r="O140" s="10"/>
    </row>
    <row r="141" customFormat="false" ht="15" hidden="false" customHeight="false" outlineLevel="0" collapsed="false">
      <c r="A141" s="7" t="n">
        <v>140</v>
      </c>
      <c r="B141" s="7" t="s">
        <v>532</v>
      </c>
      <c r="C141" s="7" t="n">
        <v>2</v>
      </c>
      <c r="D141" s="7" t="s">
        <v>520</v>
      </c>
      <c r="E141" s="7" t="s">
        <v>521</v>
      </c>
      <c r="F141" s="8" t="s">
        <v>18</v>
      </c>
      <c r="G141" s="9" t="s">
        <v>533</v>
      </c>
      <c r="H141" s="10" t="s">
        <v>534</v>
      </c>
      <c r="I141" s="10" t="s">
        <v>66</v>
      </c>
      <c r="J141" s="10" t="s">
        <v>27</v>
      </c>
      <c r="K141" s="7" t="n">
        <v>1</v>
      </c>
      <c r="L141" s="7"/>
      <c r="M141" s="7"/>
      <c r="N141" s="8" t="s">
        <v>23</v>
      </c>
      <c r="O141" s="10"/>
    </row>
    <row r="142" customFormat="false" ht="15" hidden="false" customHeight="false" outlineLevel="0" collapsed="false">
      <c r="A142" s="7" t="n">
        <v>141</v>
      </c>
      <c r="B142" s="7" t="s">
        <v>535</v>
      </c>
      <c r="C142" s="7" t="n">
        <v>2</v>
      </c>
      <c r="D142" s="7" t="s">
        <v>520</v>
      </c>
      <c r="E142" s="7" t="s">
        <v>521</v>
      </c>
      <c r="F142" s="8" t="s">
        <v>18</v>
      </c>
      <c r="G142" s="9" t="s">
        <v>536</v>
      </c>
      <c r="H142" s="10" t="s">
        <v>537</v>
      </c>
      <c r="I142" s="10" t="s">
        <v>538</v>
      </c>
      <c r="J142" s="10" t="s">
        <v>539</v>
      </c>
      <c r="K142" s="7" t="n">
        <v>2</v>
      </c>
      <c r="L142" s="7"/>
      <c r="M142" s="7"/>
      <c r="N142" s="8" t="s">
        <v>23</v>
      </c>
      <c r="O142" s="10"/>
    </row>
    <row r="143" customFormat="false" ht="15" hidden="false" customHeight="false" outlineLevel="0" collapsed="false">
      <c r="A143" s="7" t="n">
        <v>142</v>
      </c>
      <c r="B143" s="7" t="s">
        <v>540</v>
      </c>
      <c r="C143" s="7" t="n">
        <v>2</v>
      </c>
      <c r="D143" s="7" t="s">
        <v>520</v>
      </c>
      <c r="E143" s="7" t="s">
        <v>521</v>
      </c>
      <c r="F143" s="8" t="s">
        <v>18</v>
      </c>
      <c r="G143" s="9" t="s">
        <v>541</v>
      </c>
      <c r="H143" s="10" t="s">
        <v>542</v>
      </c>
      <c r="I143" s="10" t="s">
        <v>543</v>
      </c>
      <c r="J143" s="10" t="s">
        <v>544</v>
      </c>
      <c r="K143" s="7" t="n">
        <v>3</v>
      </c>
      <c r="L143" s="7"/>
      <c r="M143" s="7"/>
      <c r="N143" s="8" t="s">
        <v>23</v>
      </c>
      <c r="O143" s="10"/>
    </row>
    <row r="144" customFormat="false" ht="15" hidden="false" customHeight="false" outlineLevel="0" collapsed="false">
      <c r="A144" s="7" t="n">
        <v>143</v>
      </c>
      <c r="B144" s="7" t="s">
        <v>545</v>
      </c>
      <c r="C144" s="7" t="n">
        <v>2</v>
      </c>
      <c r="D144" s="7" t="s">
        <v>520</v>
      </c>
      <c r="E144" s="7" t="s">
        <v>521</v>
      </c>
      <c r="F144" s="8" t="s">
        <v>18</v>
      </c>
      <c r="G144" s="9" t="s">
        <v>546</v>
      </c>
      <c r="H144" s="10" t="s">
        <v>547</v>
      </c>
      <c r="I144" s="10" t="s">
        <v>548</v>
      </c>
      <c r="J144" s="10" t="s">
        <v>549</v>
      </c>
      <c r="K144" s="7" t="n">
        <v>1</v>
      </c>
      <c r="L144" s="7"/>
      <c r="M144" s="7"/>
      <c r="N144" s="8" t="s">
        <v>23</v>
      </c>
      <c r="O144" s="10"/>
    </row>
    <row r="145" customFormat="false" ht="15" hidden="false" customHeight="false" outlineLevel="0" collapsed="false">
      <c r="A145" s="7" t="n">
        <v>144</v>
      </c>
      <c r="B145" s="7" t="s">
        <v>550</v>
      </c>
      <c r="C145" s="7" t="n">
        <v>2</v>
      </c>
      <c r="D145" s="7" t="s">
        <v>520</v>
      </c>
      <c r="E145" s="7" t="s">
        <v>521</v>
      </c>
      <c r="F145" s="8" t="s">
        <v>80</v>
      </c>
      <c r="G145" s="9" t="s">
        <v>551</v>
      </c>
      <c r="H145" s="10" t="s">
        <v>552</v>
      </c>
      <c r="I145" s="10" t="s">
        <v>235</v>
      </c>
      <c r="J145" s="10" t="s">
        <v>411</v>
      </c>
      <c r="K145" s="7" t="n">
        <v>4</v>
      </c>
      <c r="L145" s="7"/>
      <c r="M145" s="7"/>
      <c r="N145" s="8" t="s">
        <v>23</v>
      </c>
      <c r="O145" s="10"/>
    </row>
    <row r="146" customFormat="false" ht="15" hidden="false" customHeight="false" outlineLevel="0" collapsed="false">
      <c r="A146" s="7" t="n">
        <v>145</v>
      </c>
      <c r="B146" s="7" t="s">
        <v>553</v>
      </c>
      <c r="C146" s="7" t="n">
        <v>2</v>
      </c>
      <c r="D146" s="7" t="s">
        <v>520</v>
      </c>
      <c r="E146" s="7" t="s">
        <v>521</v>
      </c>
      <c r="F146" s="8" t="s">
        <v>80</v>
      </c>
      <c r="G146" s="9" t="s">
        <v>552</v>
      </c>
      <c r="H146" s="10" t="s">
        <v>551</v>
      </c>
      <c r="I146" s="10" t="s">
        <v>325</v>
      </c>
      <c r="J146" s="10" t="s">
        <v>498</v>
      </c>
      <c r="K146" s="7" t="n">
        <v>3</v>
      </c>
      <c r="L146" s="7"/>
      <c r="M146" s="7"/>
      <c r="N146" s="8" t="s">
        <v>23</v>
      </c>
      <c r="O146" s="10"/>
    </row>
    <row r="147" customFormat="false" ht="15" hidden="false" customHeight="false" outlineLevel="0" collapsed="false">
      <c r="A147" s="7" t="n">
        <v>146</v>
      </c>
      <c r="B147" s="7" t="s">
        <v>554</v>
      </c>
      <c r="C147" s="7" t="n">
        <v>2</v>
      </c>
      <c r="D147" s="7" t="s">
        <v>520</v>
      </c>
      <c r="E147" s="7" t="s">
        <v>521</v>
      </c>
      <c r="F147" s="8" t="s">
        <v>80</v>
      </c>
      <c r="G147" s="9" t="s">
        <v>555</v>
      </c>
      <c r="H147" s="10" t="s">
        <v>556</v>
      </c>
      <c r="I147" s="10" t="s">
        <v>557</v>
      </c>
      <c r="J147" s="10" t="s">
        <v>436</v>
      </c>
      <c r="K147" s="7" t="n">
        <v>1</v>
      </c>
      <c r="L147" s="7"/>
      <c r="M147" s="7"/>
      <c r="N147" s="8" t="s">
        <v>23</v>
      </c>
      <c r="O147" s="10"/>
    </row>
    <row r="148" customFormat="false" ht="15" hidden="false" customHeight="false" outlineLevel="0" collapsed="false">
      <c r="A148" s="7" t="n">
        <v>147</v>
      </c>
      <c r="B148" s="7" t="s">
        <v>558</v>
      </c>
      <c r="C148" s="7" t="n">
        <v>2</v>
      </c>
      <c r="D148" s="7" t="s">
        <v>520</v>
      </c>
      <c r="E148" s="7" t="s">
        <v>521</v>
      </c>
      <c r="F148" s="8" t="s">
        <v>80</v>
      </c>
      <c r="G148" s="9" t="s">
        <v>559</v>
      </c>
      <c r="H148" s="10" t="s">
        <v>560</v>
      </c>
      <c r="I148" s="10" t="s">
        <v>302</v>
      </c>
      <c r="J148" s="10" t="s">
        <v>561</v>
      </c>
      <c r="K148" s="7" t="n">
        <v>4</v>
      </c>
      <c r="L148" s="7"/>
      <c r="M148" s="7"/>
      <c r="N148" s="8" t="s">
        <v>23</v>
      </c>
      <c r="O148" s="10"/>
    </row>
    <row r="149" customFormat="false" ht="15" hidden="false" customHeight="false" outlineLevel="0" collapsed="false">
      <c r="A149" s="7" t="n">
        <v>148</v>
      </c>
      <c r="B149" s="7" t="s">
        <v>562</v>
      </c>
      <c r="C149" s="7" t="n">
        <v>2</v>
      </c>
      <c r="D149" s="7" t="s">
        <v>520</v>
      </c>
      <c r="E149" s="7" t="s">
        <v>521</v>
      </c>
      <c r="F149" s="8" t="s">
        <v>117</v>
      </c>
      <c r="G149" s="9" t="s">
        <v>563</v>
      </c>
      <c r="H149" s="10" t="s">
        <v>564</v>
      </c>
      <c r="I149" s="10" t="s">
        <v>240</v>
      </c>
      <c r="J149" s="10" t="s">
        <v>511</v>
      </c>
      <c r="K149" s="7" t="n">
        <v>2</v>
      </c>
      <c r="L149" s="7"/>
      <c r="M149" s="7"/>
      <c r="N149" s="8" t="s">
        <v>23</v>
      </c>
      <c r="O149" s="10"/>
    </row>
    <row r="150" customFormat="false" ht="15" hidden="false" customHeight="false" outlineLevel="0" collapsed="false">
      <c r="A150" s="7" t="n">
        <v>149</v>
      </c>
      <c r="B150" s="7" t="s">
        <v>565</v>
      </c>
      <c r="C150" s="7" t="n">
        <v>2</v>
      </c>
      <c r="D150" s="7" t="s">
        <v>520</v>
      </c>
      <c r="E150" s="7" t="s">
        <v>521</v>
      </c>
      <c r="F150" s="8" t="s">
        <v>117</v>
      </c>
      <c r="G150" s="9" t="s">
        <v>566</v>
      </c>
      <c r="H150" s="10" t="s">
        <v>567</v>
      </c>
      <c r="I150" s="10" t="s">
        <v>568</v>
      </c>
      <c r="J150" s="10" t="s">
        <v>516</v>
      </c>
      <c r="K150" s="7" t="n">
        <v>1</v>
      </c>
      <c r="L150" s="7"/>
      <c r="M150" s="7"/>
      <c r="N150" s="8" t="s">
        <v>23</v>
      </c>
      <c r="O150" s="10"/>
    </row>
    <row r="151" customFormat="false" ht="15" hidden="false" customHeight="false" outlineLevel="0" collapsed="false">
      <c r="A151" s="7" t="n">
        <v>150</v>
      </c>
      <c r="B151" s="7" t="s">
        <v>569</v>
      </c>
      <c r="C151" s="7" t="n">
        <v>2</v>
      </c>
      <c r="D151" s="7" t="s">
        <v>520</v>
      </c>
      <c r="E151" s="7" t="s">
        <v>521</v>
      </c>
      <c r="F151" s="8" t="s">
        <v>117</v>
      </c>
      <c r="G151" s="9" t="s">
        <v>570</v>
      </c>
      <c r="H151" s="10" t="s">
        <v>571</v>
      </c>
      <c r="I151" s="10" t="s">
        <v>572</v>
      </c>
      <c r="J151" s="10" t="s">
        <v>566</v>
      </c>
      <c r="K151" s="7" t="n">
        <v>4</v>
      </c>
      <c r="L151" s="7"/>
      <c r="M151" s="7"/>
      <c r="N151" s="8" t="s">
        <v>23</v>
      </c>
      <c r="O151" s="10"/>
    </row>
  </sheetData>
  <autoFilter ref="A1:O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7" min="4" style="0" width="10"/>
  </cols>
  <sheetData>
    <row r="1" customFormat="false" ht="19.4" hidden="false" customHeight="false" outlineLevel="0" collapsed="false">
      <c r="A1" s="11" t="s">
        <v>573</v>
      </c>
    </row>
    <row r="3" customFormat="false" ht="15" hidden="false" customHeight="false" outlineLevel="0" collapsed="false">
      <c r="A3" s="12" t="s">
        <v>3</v>
      </c>
      <c r="B3" s="12" t="s">
        <v>4</v>
      </c>
      <c r="C3" s="12" t="s">
        <v>2</v>
      </c>
      <c r="D3" s="12" t="s">
        <v>18</v>
      </c>
      <c r="E3" s="12" t="s">
        <v>80</v>
      </c>
      <c r="F3" s="12" t="s">
        <v>117</v>
      </c>
      <c r="G3" s="12" t="s">
        <v>574</v>
      </c>
    </row>
    <row r="4" customFormat="false" ht="15" hidden="false" customHeight="false" outlineLevel="0" collapsed="false">
      <c r="A4" s="13" t="s">
        <v>16</v>
      </c>
      <c r="B4" s="13" t="s">
        <v>17</v>
      </c>
      <c r="C4" s="13" t="n">
        <v>1</v>
      </c>
      <c r="D4" s="13" t="n">
        <f aca="false">COUNTIFS(문항목록!$D$2:$D$151,$A4,문항목록!$F$2:$F$151,"명사")</f>
        <v>15</v>
      </c>
      <c r="E4" s="13" t="n">
        <f aca="false">COUNTIFS(문항목록!$D$2:$D$151,$A4,문항목록!$F$2:$F$151,"동사")</f>
        <v>10</v>
      </c>
      <c r="F4" s="13" t="n">
        <f aca="false">COUNTIFS(문항목록!$D$2:$D$151,$A4,문항목록!$F$2:$F$151,"형용사")</f>
        <v>3</v>
      </c>
      <c r="G4" s="13" t="n">
        <f aca="false">SUM(D4:F4)</f>
        <v>28</v>
      </c>
    </row>
    <row r="5" customFormat="false" ht="15" hidden="false" customHeight="false" outlineLevel="0" collapsed="false">
      <c r="A5" s="13" t="s">
        <v>130</v>
      </c>
      <c r="B5" s="13" t="s">
        <v>131</v>
      </c>
      <c r="C5" s="13" t="n">
        <v>1</v>
      </c>
      <c r="D5" s="13" t="n">
        <f aca="false">COUNTIFS(문항목록!$D$2:$D$151,$A5,문항목록!$F$2:$F$151,"명사")</f>
        <v>18</v>
      </c>
      <c r="E5" s="13" t="n">
        <f aca="false">COUNTIFS(문항목록!$D$2:$D$151,$A5,문항목록!$F$2:$F$151,"동사")</f>
        <v>12</v>
      </c>
      <c r="F5" s="13" t="n">
        <f aca="false">COUNTIFS(문항목록!$D$2:$D$151,$A5,문항목록!$F$2:$F$151,"형용사")</f>
        <v>4</v>
      </c>
      <c r="G5" s="13" t="n">
        <f aca="false">SUM(D5:F5)</f>
        <v>34</v>
      </c>
    </row>
    <row r="6" customFormat="false" ht="15" hidden="false" customHeight="false" outlineLevel="0" collapsed="false">
      <c r="A6" s="13" t="s">
        <v>253</v>
      </c>
      <c r="B6" s="13" t="s">
        <v>254</v>
      </c>
      <c r="C6" s="13" t="n">
        <v>1</v>
      </c>
      <c r="D6" s="13" t="n">
        <f aca="false">COUNTIFS(문항목록!$D$2:$D$151,$A6,문항목록!$F$2:$F$151,"명사")</f>
        <v>15</v>
      </c>
      <c r="E6" s="13" t="n">
        <f aca="false">COUNTIFS(문항목록!$D$2:$D$151,$A6,문항목록!$F$2:$F$151,"동사")</f>
        <v>11</v>
      </c>
      <c r="F6" s="13" t="n">
        <f aca="false">COUNTIFS(문항목록!$D$2:$D$151,$A6,문항목록!$F$2:$F$151,"형용사")</f>
        <v>4</v>
      </c>
      <c r="G6" s="13" t="n">
        <f aca="false">SUM(D6:F6)</f>
        <v>30</v>
      </c>
    </row>
    <row r="7" customFormat="false" ht="15" hidden="false" customHeight="false" outlineLevel="0" collapsed="false">
      <c r="A7" s="13" t="s">
        <v>359</v>
      </c>
      <c r="B7" s="13" t="s">
        <v>360</v>
      </c>
      <c r="C7" s="13" t="n">
        <v>2</v>
      </c>
      <c r="D7" s="13" t="n">
        <f aca="false">COUNTIFS(문항목록!$D$2:$D$151,$A7,문항목록!$F$2:$F$151,"명사")</f>
        <v>14</v>
      </c>
      <c r="E7" s="13" t="n">
        <f aca="false">COUNTIFS(문항목록!$D$2:$D$151,$A7,문항목록!$F$2:$F$151,"동사")</f>
        <v>9</v>
      </c>
      <c r="F7" s="13" t="n">
        <f aca="false">COUNTIFS(문항목록!$D$2:$D$151,$A7,문항목록!$F$2:$F$151,"형용사")</f>
        <v>3</v>
      </c>
      <c r="G7" s="13" t="n">
        <f aca="false">SUM(D7:F7)</f>
        <v>26</v>
      </c>
    </row>
    <row r="8" customFormat="false" ht="15" hidden="false" customHeight="false" outlineLevel="0" collapsed="false">
      <c r="A8" s="13" t="s">
        <v>454</v>
      </c>
      <c r="B8" s="13" t="s">
        <v>455</v>
      </c>
      <c r="C8" s="13" t="n">
        <v>2</v>
      </c>
      <c r="D8" s="13" t="n">
        <f aca="false">COUNTIFS(문항목록!$D$2:$D$151,$A8,문항목록!$F$2:$F$151,"명사")</f>
        <v>9</v>
      </c>
      <c r="E8" s="13" t="n">
        <f aca="false">COUNTIFS(문항목록!$D$2:$D$151,$A8,문항목록!$F$2:$F$151,"동사")</f>
        <v>6</v>
      </c>
      <c r="F8" s="13" t="n">
        <f aca="false">COUNTIFS(문항목록!$D$2:$D$151,$A8,문항목록!$F$2:$F$151,"형용사")</f>
        <v>3</v>
      </c>
      <c r="G8" s="13" t="n">
        <f aca="false">SUM(D8:F8)</f>
        <v>18</v>
      </c>
    </row>
    <row r="9" customFormat="false" ht="15" hidden="false" customHeight="false" outlineLevel="0" collapsed="false">
      <c r="A9" s="13" t="s">
        <v>520</v>
      </c>
      <c r="B9" s="13" t="s">
        <v>521</v>
      </c>
      <c r="C9" s="13" t="n">
        <v>2</v>
      </c>
      <c r="D9" s="13" t="n">
        <f aca="false">COUNTIFS(문항목록!$D$2:$D$151,$A9,문항목록!$F$2:$F$151,"명사")</f>
        <v>7</v>
      </c>
      <c r="E9" s="13" t="n">
        <f aca="false">COUNTIFS(문항목록!$D$2:$D$151,$A9,문항목록!$F$2:$F$151,"동사")</f>
        <v>4</v>
      </c>
      <c r="F9" s="13" t="n">
        <f aca="false">COUNTIFS(문항목록!$D$2:$D$151,$A9,문항목록!$F$2:$F$151,"형용사")</f>
        <v>3</v>
      </c>
      <c r="G9" s="13" t="n">
        <f aca="false">SUM(D9:F9)</f>
        <v>14</v>
      </c>
    </row>
    <row r="10" customFormat="false" ht="15" hidden="false" customHeight="false" outlineLevel="0" collapsed="false">
      <c r="A10" s="14" t="s">
        <v>575</v>
      </c>
      <c r="B10" s="14"/>
      <c r="C10" s="14"/>
      <c r="D10" s="14" t="n">
        <f aca="false">SUM(D4:D9)</f>
        <v>78</v>
      </c>
      <c r="E10" s="14" t="n">
        <f aca="false">SUM(E4:E9)</f>
        <v>52</v>
      </c>
      <c r="F10" s="14" t="n">
        <f aca="false">SUM(F4:F9)</f>
        <v>20</v>
      </c>
      <c r="G10" s="14" t="n">
        <f aca="false">SUM(G4:G9)</f>
        <v>150</v>
      </c>
    </row>
    <row r="11" customFormat="false" ht="15" hidden="false" customHeight="false" outlineLevel="0" collapsed="false">
      <c r="A11" s="14" t="s">
        <v>576</v>
      </c>
      <c r="B11" s="14"/>
      <c r="C11" s="14"/>
      <c r="D11" s="15" t="n">
        <f aca="false">D10/$G$10</f>
        <v>0.52</v>
      </c>
      <c r="E11" s="15" t="n">
        <f aca="false">E10/$G$10</f>
        <v>0.346666666666667</v>
      </c>
      <c r="F11" s="15" t="n">
        <f aca="false">F10/$G$10</f>
        <v>0.133333333333333</v>
      </c>
      <c r="G11" s="14"/>
    </row>
    <row r="13" customFormat="false" ht="15" hidden="false" customHeight="false" outlineLevel="0" collapsed="false">
      <c r="A13" s="16" t="s">
        <v>577</v>
      </c>
    </row>
    <row r="14" customFormat="false" ht="15" hidden="false" customHeight="false" outlineLevel="0" collapsed="false">
      <c r="A14" s="17" t="s">
        <v>578</v>
      </c>
    </row>
    <row r="16" customFormat="false" ht="17.15" hidden="false" customHeight="false" outlineLevel="0" collapsed="false">
      <c r="A16" s="18" t="s">
        <v>579</v>
      </c>
    </row>
    <row r="17" customFormat="false" ht="15" hidden="false" customHeight="false" outlineLevel="0" collapsed="false">
      <c r="A17" s="19" t="s">
        <v>580</v>
      </c>
      <c r="B17" s="13" t="n">
        <f aca="false">COUNTIF(문항목록!$K$2:$K$151,1)</f>
        <v>38</v>
      </c>
    </row>
    <row r="18" customFormat="false" ht="15" hidden="false" customHeight="false" outlineLevel="0" collapsed="false">
      <c r="A18" s="19" t="s">
        <v>581</v>
      </c>
      <c r="B18" s="13" t="n">
        <f aca="false">COUNTIF(문항목록!$K$2:$K$151,2)</f>
        <v>37</v>
      </c>
    </row>
    <row r="19" customFormat="false" ht="15" hidden="false" customHeight="false" outlineLevel="0" collapsed="false">
      <c r="A19" s="19" t="s">
        <v>582</v>
      </c>
      <c r="B19" s="13" t="n">
        <f aca="false">COUNTIF(문항목록!$K$2:$K$151,3)</f>
        <v>37</v>
      </c>
    </row>
    <row r="20" customFormat="false" ht="15" hidden="false" customHeight="false" outlineLevel="0" collapsed="false">
      <c r="A20" s="19" t="s">
        <v>583</v>
      </c>
      <c r="B20" s="13" t="n">
        <f aca="false">COUNTIF(문항목록!$K$2:$K$151,4)</f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20" t="s">
        <v>584</v>
      </c>
      <c r="B1" s="20" t="s">
        <v>585</v>
      </c>
    </row>
    <row r="2" customFormat="false" ht="15" hidden="false" customHeight="false" outlineLevel="0" collapsed="false">
      <c r="A2" s="21" t="s">
        <v>586</v>
      </c>
      <c r="B2" s="22" t="s">
        <v>587</v>
      </c>
    </row>
    <row r="3" customFormat="false" ht="15" hidden="false" customHeight="false" outlineLevel="0" collapsed="false">
      <c r="A3" s="21" t="s">
        <v>0</v>
      </c>
      <c r="B3" s="21" t="s">
        <v>588</v>
      </c>
    </row>
    <row r="4" customFormat="false" ht="15" hidden="false" customHeight="false" outlineLevel="0" collapsed="false">
      <c r="A4" s="21" t="s">
        <v>2</v>
      </c>
      <c r="B4" s="22" t="s">
        <v>589</v>
      </c>
    </row>
    <row r="5" customFormat="false" ht="15" hidden="false" customHeight="false" outlineLevel="0" collapsed="false">
      <c r="A5" s="21" t="s">
        <v>3</v>
      </c>
      <c r="B5" s="22" t="s">
        <v>590</v>
      </c>
    </row>
    <row r="6" customFormat="false" ht="15" hidden="false" customHeight="false" outlineLevel="0" collapsed="false">
      <c r="A6" s="21" t="s">
        <v>591</v>
      </c>
      <c r="B6" s="21" t="s">
        <v>592</v>
      </c>
    </row>
    <row r="7" customFormat="false" ht="15" hidden="false" customHeight="false" outlineLevel="0" collapsed="false">
      <c r="A7" s="21" t="s">
        <v>593</v>
      </c>
      <c r="B7" s="21" t="s">
        <v>594</v>
      </c>
    </row>
    <row r="8" customFormat="false" ht="15" hidden="false" customHeight="false" outlineLevel="0" collapsed="false">
      <c r="A8" s="21" t="s">
        <v>595</v>
      </c>
      <c r="B8" s="21" t="s">
        <v>596</v>
      </c>
    </row>
    <row r="9" customFormat="false" ht="15" hidden="false" customHeight="false" outlineLevel="0" collapsed="false">
      <c r="A9" s="21" t="s">
        <v>10</v>
      </c>
      <c r="B9" s="22" t="s">
        <v>597</v>
      </c>
    </row>
    <row r="10" customFormat="false" ht="15" hidden="false" customHeight="false" outlineLevel="0" collapsed="false">
      <c r="A10" s="22" t="s">
        <v>598</v>
      </c>
      <c r="B10" s="22" t="s">
        <v>599</v>
      </c>
    </row>
    <row r="11" customFormat="false" ht="15" hidden="false" customHeight="false" outlineLevel="0" collapsed="false">
      <c r="A11" s="21" t="s">
        <v>12</v>
      </c>
      <c r="B11" s="22" t="s">
        <v>600</v>
      </c>
    </row>
    <row r="12" customFormat="false" ht="15" hidden="false" customHeight="false" outlineLevel="0" collapsed="false">
      <c r="A12" s="21" t="s">
        <v>13</v>
      </c>
      <c r="B12" s="22" t="s">
        <v>601</v>
      </c>
    </row>
    <row r="13" customFormat="false" ht="15" hidden="false" customHeight="false" outlineLevel="0" collapsed="false">
      <c r="A13" s="22"/>
      <c r="B13" s="22"/>
    </row>
    <row r="14" customFormat="false" ht="15" hidden="false" customHeight="false" outlineLevel="0" collapsed="false">
      <c r="A14" s="20" t="s">
        <v>602</v>
      </c>
      <c r="B14" s="20" t="s">
        <v>585</v>
      </c>
    </row>
    <row r="15" customFormat="false" ht="29.85" hidden="false" customHeight="false" outlineLevel="0" collapsed="false">
      <c r="A15" s="21" t="s">
        <v>603</v>
      </c>
      <c r="B15" s="21" t="s">
        <v>604</v>
      </c>
    </row>
    <row r="16" customFormat="false" ht="15" hidden="false" customHeight="false" outlineLevel="0" collapsed="false">
      <c r="A16" s="21" t="s">
        <v>605</v>
      </c>
      <c r="B16" s="22" t="s">
        <v>606</v>
      </c>
    </row>
    <row r="17" customFormat="false" ht="29.85" hidden="false" customHeight="false" outlineLevel="0" collapsed="false">
      <c r="A17" s="21" t="s">
        <v>607</v>
      </c>
      <c r="B17" s="22" t="s">
        <v>608</v>
      </c>
    </row>
    <row r="18" customFormat="false" ht="15" hidden="false" customHeight="false" outlineLevel="0" collapsed="false">
      <c r="A18" s="21" t="s">
        <v>609</v>
      </c>
      <c r="B18" s="21" t="s">
        <v>610</v>
      </c>
    </row>
    <row r="19" customFormat="false" ht="29.85" hidden="false" customHeight="false" outlineLevel="0" collapsed="false">
      <c r="A19" s="21" t="s">
        <v>611</v>
      </c>
      <c r="B19" s="22" t="s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2026-09-04T02:12:56Z</dcterms:created>
  <dc:creator>openpyxl</dc:creator>
  <dc:description/>
  <dc:language>en-US</dc:language>
  <cp:lastModifiedBy/>
  <dcterms:modified xsi:type="dcterms:W3CDTF">2026-09-04T02:12:56Z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